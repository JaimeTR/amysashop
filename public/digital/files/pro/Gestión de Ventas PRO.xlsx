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mbar/Downloads/"/>
    </mc:Choice>
  </mc:AlternateContent>
  <xr:revisionPtr revIDLastSave="0" documentId="8_{FF994596-A20E-D341-8A82-F6F2C169037D}" xr6:coauthVersionLast="47" xr6:coauthVersionMax="47" xr10:uidLastSave="{00000000-0000-0000-0000-000000000000}"/>
  <bookViews>
    <workbookView xWindow="0" yWindow="600" windowWidth="25020" windowHeight="14860" tabRatio="500" firstSheet="1" activeTab="5" xr2:uid="{00000000-000D-0000-FFFF-FFFF00000000}"/>
  </bookViews>
  <sheets>
    <sheet name="🏠 INICIO" sheetId="1" r:id="rId1"/>
    <sheet name="COSTO UNITARIO" sheetId="2" r:id="rId2"/>
    <sheet name="INVENTARIO EN STOCK" sheetId="3" r:id="rId3"/>
    <sheet name="📊 CALCULADORA CAMPAÑA" sheetId="4" r:id="rId4"/>
    <sheet name="💵 CUANTO ME PAGO" sheetId="5" r:id="rId5"/>
    <sheet name="🗂️ MONITOREO CATÁLOGOS" sheetId="6" r:id="rId6"/>
    <sheet name="SEG - ENERO" sheetId="7" r:id="rId7"/>
    <sheet name="SEG - FEBRERO" sheetId="8" r:id="rId8"/>
    <sheet name="SEG - MARZO" sheetId="9" r:id="rId9"/>
    <sheet name="SEG - ABRIL" sheetId="10" r:id="rId10"/>
    <sheet name="SEG - MAYO" sheetId="11" r:id="rId11"/>
    <sheet name="SEG - JUNIO" sheetId="12" r:id="rId12"/>
    <sheet name="SEG - JULIO" sheetId="13" r:id="rId13"/>
    <sheet name="SEG - AGOSTO" sheetId="14" r:id="rId14"/>
    <sheet name="SEG - SEPTIEMBRE" sheetId="15" r:id="rId15"/>
    <sheet name="SEG - OCTUBRE" sheetId="16" r:id="rId16"/>
    <sheet name="SEG - NOVIEMBRE" sheetId="17" r:id="rId17"/>
    <sheet name="SEG - DICIEMBRE" sheetId="18" r:id="rId18"/>
    <sheet name="📊 RESUMEN ANUAL" sheetId="19" r:id="rId19"/>
  </sheets>
  <definedNames>
    <definedName name="_xlnm._FilterDatabase" localSheetId="3" hidden="1">'📊 CALCULADORA CAMPAÑA'!$B$5:$O$105</definedName>
    <definedName name="_xlnm._FilterDatabase" localSheetId="18" hidden="1">'📊 RESUMEN ANUAL'!$A$2:$E$16</definedName>
    <definedName name="_xlnm._FilterDatabase" localSheetId="2" hidden="1">'INVENTARIO EN STOCK'!$B$5:$O$55</definedName>
    <definedName name="_xlnm._FilterDatabase" localSheetId="9" hidden="1">'SEG - ABRIL'!$A$4:$K$108</definedName>
    <definedName name="_xlnm._FilterDatabase" localSheetId="13" hidden="1">'SEG - AGOSTO'!$A$4:$K$108</definedName>
    <definedName name="_xlnm._FilterDatabase" localSheetId="17" hidden="1">'SEG - DICIEMBRE'!$A$4:$K$108</definedName>
    <definedName name="_xlnm._FilterDatabase" localSheetId="6" hidden="1">'SEG - ENERO'!$A$4:$K$108</definedName>
    <definedName name="_xlnm._FilterDatabase" localSheetId="7" hidden="1">'SEG - FEBRERO'!$A$4:$K$108</definedName>
    <definedName name="_xlnm._FilterDatabase" localSheetId="12" hidden="1">'SEG - JULIO'!$A$4:$K$108</definedName>
    <definedName name="_xlnm._FilterDatabase" localSheetId="11" hidden="1">'SEG - JUNIO'!$A$4:$K$108</definedName>
    <definedName name="_xlnm._FilterDatabase" localSheetId="8" hidden="1">'SEG - MARZO'!$A$4:$K$108</definedName>
    <definedName name="_xlnm._FilterDatabase" localSheetId="10" hidden="1">'SEG - MAYO'!$A$4:$K$108</definedName>
    <definedName name="_xlnm._FilterDatabase" localSheetId="16" hidden="1">'SEG - NOVIEMBRE'!$A$4:$K$108</definedName>
    <definedName name="_xlnm._FilterDatabase" localSheetId="15" hidden="1">'SEG - OCTUBRE'!$A$4:$K$108</definedName>
    <definedName name="_xlnm._FilterDatabase" localSheetId="14" hidden="1">'SEG - SEPTIEMBRE'!$A$4:$K$108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5" l="1"/>
  <c r="E26" i="2"/>
  <c r="J108" i="18"/>
  <c r="I108" i="18"/>
  <c r="G108" i="18"/>
  <c r="E108" i="18"/>
  <c r="B108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J108" i="17"/>
  <c r="I108" i="17"/>
  <c r="G108" i="17"/>
  <c r="E108" i="17"/>
  <c r="B108" i="17"/>
  <c r="K104" i="17"/>
  <c r="K103" i="17"/>
  <c r="K102" i="17"/>
  <c r="K101" i="17"/>
  <c r="K100" i="17"/>
  <c r="K99" i="17"/>
  <c r="K98" i="17"/>
  <c r="K97" i="17"/>
  <c r="K96" i="17"/>
  <c r="K95" i="17"/>
  <c r="K94" i="17"/>
  <c r="K93" i="17"/>
  <c r="K92" i="17"/>
  <c r="K91" i="17"/>
  <c r="K90" i="17"/>
  <c r="K89" i="17"/>
  <c r="K88" i="17"/>
  <c r="K87" i="17"/>
  <c r="K86" i="17"/>
  <c r="K85" i="17"/>
  <c r="K84" i="17"/>
  <c r="K83" i="17"/>
  <c r="K82" i="17"/>
  <c r="K81" i="17"/>
  <c r="K80" i="17"/>
  <c r="K79" i="17"/>
  <c r="K78" i="17"/>
  <c r="K77" i="17"/>
  <c r="K76" i="17"/>
  <c r="K75" i="17"/>
  <c r="K74" i="17"/>
  <c r="K73" i="17"/>
  <c r="K72" i="17"/>
  <c r="K71" i="17"/>
  <c r="K70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J108" i="16"/>
  <c r="I108" i="16"/>
  <c r="G108" i="16"/>
  <c r="E108" i="16"/>
  <c r="B108" i="16"/>
  <c r="K104" i="16"/>
  <c r="K103" i="16"/>
  <c r="K102" i="16"/>
  <c r="K101" i="16"/>
  <c r="K100" i="16"/>
  <c r="K99" i="16"/>
  <c r="K98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K84" i="16"/>
  <c r="K83" i="16"/>
  <c r="K82" i="16"/>
  <c r="K81" i="16"/>
  <c r="K80" i="16"/>
  <c r="K79" i="16"/>
  <c r="K78" i="16"/>
  <c r="K77" i="16"/>
  <c r="K76" i="16"/>
  <c r="K75" i="16"/>
  <c r="K74" i="16"/>
  <c r="K73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J108" i="15"/>
  <c r="I108" i="15"/>
  <c r="G108" i="15"/>
  <c r="E108" i="15"/>
  <c r="B108" i="15"/>
  <c r="K104" i="15"/>
  <c r="K103" i="15"/>
  <c r="K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J108" i="14"/>
  <c r="I108" i="14"/>
  <c r="G108" i="14"/>
  <c r="E108" i="14"/>
  <c r="B108" i="14"/>
  <c r="K104" i="14"/>
  <c r="K103" i="14"/>
  <c r="K102" i="14"/>
  <c r="K101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J108" i="13"/>
  <c r="I108" i="13"/>
  <c r="G108" i="13"/>
  <c r="E108" i="13"/>
  <c r="B108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J108" i="12"/>
  <c r="I108" i="12"/>
  <c r="G108" i="12"/>
  <c r="E108" i="12"/>
  <c r="B108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J108" i="11"/>
  <c r="I108" i="11"/>
  <c r="G108" i="11"/>
  <c r="E108" i="11"/>
  <c r="B108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J108" i="10"/>
  <c r="I108" i="10"/>
  <c r="G108" i="10"/>
  <c r="E108" i="10"/>
  <c r="B108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J108" i="8"/>
  <c r="I108" i="8"/>
  <c r="G108" i="8"/>
  <c r="E108" i="8"/>
  <c r="B108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J108" i="7"/>
  <c r="I108" i="7"/>
  <c r="G108" i="7"/>
  <c r="E108" i="7"/>
  <c r="B108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D83" i="6"/>
  <c r="C83" i="6"/>
  <c r="D82" i="6"/>
  <c r="C82" i="6"/>
  <c r="N75" i="6"/>
  <c r="M75" i="6"/>
  <c r="E75" i="6"/>
  <c r="D75" i="6"/>
  <c r="Q74" i="6"/>
  <c r="P74" i="6"/>
  <c r="O74" i="6"/>
  <c r="H74" i="6"/>
  <c r="G74" i="6"/>
  <c r="F74" i="6"/>
  <c r="Q73" i="6"/>
  <c r="P73" i="6"/>
  <c r="O73" i="6"/>
  <c r="H73" i="6"/>
  <c r="G73" i="6"/>
  <c r="F73" i="6"/>
  <c r="Q72" i="6"/>
  <c r="P72" i="6"/>
  <c r="O72" i="6"/>
  <c r="H72" i="6"/>
  <c r="G72" i="6"/>
  <c r="F72" i="6"/>
  <c r="Q71" i="6"/>
  <c r="P71" i="6"/>
  <c r="O71" i="6"/>
  <c r="H71" i="6"/>
  <c r="G71" i="6"/>
  <c r="F71" i="6"/>
  <c r="Q70" i="6"/>
  <c r="P70" i="6"/>
  <c r="O70" i="6"/>
  <c r="H70" i="6"/>
  <c r="G70" i="6"/>
  <c r="F70" i="6"/>
  <c r="Q69" i="6"/>
  <c r="P69" i="6"/>
  <c r="O69" i="6"/>
  <c r="H69" i="6"/>
  <c r="G69" i="6"/>
  <c r="F69" i="6"/>
  <c r="Q68" i="6"/>
  <c r="P68" i="6"/>
  <c r="O68" i="6"/>
  <c r="H68" i="6"/>
  <c r="G68" i="6"/>
  <c r="F68" i="6"/>
  <c r="Q67" i="6"/>
  <c r="P67" i="6"/>
  <c r="O67" i="6"/>
  <c r="H67" i="6"/>
  <c r="G67" i="6"/>
  <c r="F67" i="6"/>
  <c r="Q66" i="6"/>
  <c r="P66" i="6"/>
  <c r="O66" i="6"/>
  <c r="H66" i="6"/>
  <c r="G66" i="6"/>
  <c r="F66" i="6"/>
  <c r="Q65" i="6"/>
  <c r="P65" i="6"/>
  <c r="O65" i="6"/>
  <c r="H65" i="6"/>
  <c r="G65" i="6"/>
  <c r="F65" i="6"/>
  <c r="Q64" i="6"/>
  <c r="P64" i="6"/>
  <c r="O64" i="6"/>
  <c r="H64" i="6"/>
  <c r="G64" i="6"/>
  <c r="F64" i="6"/>
  <c r="Q63" i="6"/>
  <c r="P63" i="6"/>
  <c r="O63" i="6"/>
  <c r="H63" i="6"/>
  <c r="G63" i="6"/>
  <c r="F63" i="6"/>
  <c r="Q62" i="6"/>
  <c r="P62" i="6"/>
  <c r="O62" i="6"/>
  <c r="H62" i="6"/>
  <c r="G62" i="6"/>
  <c r="F62" i="6"/>
  <c r="N57" i="6"/>
  <c r="M57" i="6"/>
  <c r="E57" i="6"/>
  <c r="D57" i="6"/>
  <c r="Q56" i="6"/>
  <c r="P56" i="6"/>
  <c r="O56" i="6"/>
  <c r="H56" i="6"/>
  <c r="G56" i="6"/>
  <c r="F56" i="6"/>
  <c r="Q55" i="6"/>
  <c r="P55" i="6"/>
  <c r="O55" i="6"/>
  <c r="H55" i="6"/>
  <c r="G55" i="6"/>
  <c r="F55" i="6"/>
  <c r="Q54" i="6"/>
  <c r="P54" i="6"/>
  <c r="O54" i="6"/>
  <c r="H54" i="6"/>
  <c r="G54" i="6"/>
  <c r="F54" i="6"/>
  <c r="Q53" i="6"/>
  <c r="P53" i="6"/>
  <c r="O53" i="6"/>
  <c r="H53" i="6"/>
  <c r="G53" i="6"/>
  <c r="F53" i="6"/>
  <c r="Q52" i="6"/>
  <c r="P52" i="6"/>
  <c r="O52" i="6"/>
  <c r="H52" i="6"/>
  <c r="G52" i="6"/>
  <c r="F52" i="6"/>
  <c r="Q51" i="6"/>
  <c r="P51" i="6"/>
  <c r="O51" i="6"/>
  <c r="H51" i="6"/>
  <c r="G51" i="6"/>
  <c r="F51" i="6"/>
  <c r="Q50" i="6"/>
  <c r="P50" i="6"/>
  <c r="O50" i="6"/>
  <c r="H50" i="6"/>
  <c r="G50" i="6"/>
  <c r="F50" i="6"/>
  <c r="Q49" i="6"/>
  <c r="P49" i="6"/>
  <c r="O49" i="6"/>
  <c r="H49" i="6"/>
  <c r="G49" i="6"/>
  <c r="F49" i="6"/>
  <c r="Q48" i="6"/>
  <c r="P48" i="6"/>
  <c r="O48" i="6"/>
  <c r="H48" i="6"/>
  <c r="G48" i="6"/>
  <c r="F48" i="6"/>
  <c r="Q47" i="6"/>
  <c r="P47" i="6"/>
  <c r="O47" i="6"/>
  <c r="H47" i="6"/>
  <c r="G47" i="6"/>
  <c r="F47" i="6"/>
  <c r="Q46" i="6"/>
  <c r="P46" i="6"/>
  <c r="O46" i="6"/>
  <c r="H46" i="6"/>
  <c r="G46" i="6"/>
  <c r="F46" i="6"/>
  <c r="Q45" i="6"/>
  <c r="P45" i="6"/>
  <c r="O45" i="6"/>
  <c r="H45" i="6"/>
  <c r="G45" i="6"/>
  <c r="F45" i="6"/>
  <c r="Q44" i="6"/>
  <c r="P44" i="6"/>
  <c r="O44" i="6"/>
  <c r="H44" i="6"/>
  <c r="G44" i="6"/>
  <c r="F44" i="6"/>
  <c r="N39" i="6"/>
  <c r="M39" i="6"/>
  <c r="E39" i="6"/>
  <c r="D39" i="6"/>
  <c r="Q38" i="6"/>
  <c r="P38" i="6"/>
  <c r="O38" i="6"/>
  <c r="H38" i="6"/>
  <c r="G38" i="6"/>
  <c r="F38" i="6"/>
  <c r="Q37" i="6"/>
  <c r="P37" i="6"/>
  <c r="O37" i="6"/>
  <c r="H37" i="6"/>
  <c r="G37" i="6"/>
  <c r="F37" i="6"/>
  <c r="Q36" i="6"/>
  <c r="P36" i="6"/>
  <c r="O36" i="6"/>
  <c r="H36" i="6"/>
  <c r="G36" i="6"/>
  <c r="F36" i="6"/>
  <c r="Q35" i="6"/>
  <c r="P35" i="6"/>
  <c r="O35" i="6"/>
  <c r="H35" i="6"/>
  <c r="G35" i="6"/>
  <c r="F35" i="6"/>
  <c r="Q34" i="6"/>
  <c r="P34" i="6"/>
  <c r="O34" i="6"/>
  <c r="H34" i="6"/>
  <c r="G34" i="6"/>
  <c r="F34" i="6"/>
  <c r="Q33" i="6"/>
  <c r="P33" i="6"/>
  <c r="O33" i="6"/>
  <c r="H33" i="6"/>
  <c r="G33" i="6"/>
  <c r="F33" i="6"/>
  <c r="Q32" i="6"/>
  <c r="P32" i="6"/>
  <c r="O32" i="6"/>
  <c r="H32" i="6"/>
  <c r="G32" i="6"/>
  <c r="F32" i="6"/>
  <c r="Q31" i="6"/>
  <c r="P31" i="6"/>
  <c r="O31" i="6"/>
  <c r="H31" i="6"/>
  <c r="G31" i="6"/>
  <c r="F31" i="6"/>
  <c r="Q30" i="6"/>
  <c r="O30" i="6"/>
  <c r="H30" i="6"/>
  <c r="F30" i="6"/>
  <c r="Q29" i="6"/>
  <c r="O29" i="6"/>
  <c r="H29" i="6"/>
  <c r="F29" i="6"/>
  <c r="Q28" i="6"/>
  <c r="O28" i="6"/>
  <c r="H28" i="6"/>
  <c r="F28" i="6"/>
  <c r="Q27" i="6"/>
  <c r="O27" i="6"/>
  <c r="H27" i="6"/>
  <c r="F27" i="6"/>
  <c r="Q26" i="6"/>
  <c r="O26" i="6"/>
  <c r="H26" i="6"/>
  <c r="F26" i="6"/>
  <c r="N21" i="6"/>
  <c r="M21" i="6"/>
  <c r="E21" i="6"/>
  <c r="D21" i="6"/>
  <c r="Q20" i="6"/>
  <c r="P20" i="6"/>
  <c r="O20" i="6"/>
  <c r="H20" i="6"/>
  <c r="G20" i="6"/>
  <c r="F20" i="6"/>
  <c r="Q19" i="6"/>
  <c r="P19" i="6"/>
  <c r="O19" i="6"/>
  <c r="H19" i="6"/>
  <c r="G19" i="6"/>
  <c r="F19" i="6"/>
  <c r="Q18" i="6"/>
  <c r="P18" i="6"/>
  <c r="O18" i="6"/>
  <c r="H18" i="6"/>
  <c r="G18" i="6"/>
  <c r="F18" i="6"/>
  <c r="Q17" i="6"/>
  <c r="P17" i="6"/>
  <c r="O17" i="6"/>
  <c r="H17" i="6"/>
  <c r="G17" i="6"/>
  <c r="F17" i="6"/>
  <c r="Q16" i="6"/>
  <c r="P16" i="6"/>
  <c r="O16" i="6"/>
  <c r="H16" i="6"/>
  <c r="G16" i="6"/>
  <c r="F16" i="6"/>
  <c r="Q15" i="6"/>
  <c r="P15" i="6"/>
  <c r="O15" i="6"/>
  <c r="H15" i="6"/>
  <c r="G15" i="6"/>
  <c r="F15" i="6"/>
  <c r="Q14" i="6"/>
  <c r="P14" i="6"/>
  <c r="O14" i="6"/>
  <c r="H14" i="6"/>
  <c r="G14" i="6"/>
  <c r="F14" i="6"/>
  <c r="Q13" i="6"/>
  <c r="O13" i="6"/>
  <c r="H13" i="6"/>
  <c r="F13" i="6"/>
  <c r="Q12" i="6"/>
  <c r="O12" i="6"/>
  <c r="H12" i="6"/>
  <c r="F12" i="6"/>
  <c r="Q11" i="6"/>
  <c r="O11" i="6"/>
  <c r="H11" i="6"/>
  <c r="F11" i="6"/>
  <c r="Q10" i="6"/>
  <c r="O10" i="6"/>
  <c r="H10" i="6"/>
  <c r="F10" i="6"/>
  <c r="Q9" i="6"/>
  <c r="O9" i="6"/>
  <c r="H9" i="6"/>
  <c r="F9" i="6"/>
  <c r="Q8" i="6"/>
  <c r="O8" i="6"/>
  <c r="H8" i="6"/>
  <c r="F8" i="6"/>
  <c r="E3" i="6"/>
  <c r="G21" i="5"/>
  <c r="G20" i="5"/>
  <c r="C8" i="5"/>
  <c r="C6" i="5"/>
  <c r="G3" i="5"/>
  <c r="N111" i="4"/>
  <c r="G107" i="4"/>
  <c r="F107" i="4"/>
  <c r="M105" i="4"/>
  <c r="K105" i="4"/>
  <c r="H105" i="4"/>
  <c r="M104" i="4"/>
  <c r="K104" i="4"/>
  <c r="H104" i="4"/>
  <c r="M103" i="4"/>
  <c r="K103" i="4"/>
  <c r="H103" i="4"/>
  <c r="M102" i="4"/>
  <c r="K102" i="4"/>
  <c r="H102" i="4"/>
  <c r="M101" i="4"/>
  <c r="K101" i="4"/>
  <c r="H101" i="4"/>
  <c r="M100" i="4"/>
  <c r="K100" i="4"/>
  <c r="H100" i="4"/>
  <c r="M99" i="4"/>
  <c r="K99" i="4"/>
  <c r="H99" i="4"/>
  <c r="M98" i="4"/>
  <c r="K98" i="4"/>
  <c r="H98" i="4"/>
  <c r="M97" i="4"/>
  <c r="K97" i="4"/>
  <c r="H97" i="4"/>
  <c r="M96" i="4"/>
  <c r="K96" i="4"/>
  <c r="H96" i="4"/>
  <c r="M95" i="4"/>
  <c r="K95" i="4"/>
  <c r="H95" i="4"/>
  <c r="M94" i="4"/>
  <c r="K94" i="4"/>
  <c r="H94" i="4"/>
  <c r="M93" i="4"/>
  <c r="K93" i="4"/>
  <c r="H93" i="4"/>
  <c r="M92" i="4"/>
  <c r="K92" i="4"/>
  <c r="H92" i="4"/>
  <c r="M91" i="4"/>
  <c r="K91" i="4"/>
  <c r="H91" i="4"/>
  <c r="M90" i="4"/>
  <c r="K90" i="4"/>
  <c r="H90" i="4"/>
  <c r="M89" i="4"/>
  <c r="K89" i="4"/>
  <c r="H89" i="4"/>
  <c r="M88" i="4"/>
  <c r="K88" i="4"/>
  <c r="H88" i="4"/>
  <c r="M87" i="4"/>
  <c r="K87" i="4"/>
  <c r="H87" i="4"/>
  <c r="M86" i="4"/>
  <c r="K86" i="4"/>
  <c r="H86" i="4"/>
  <c r="M85" i="4"/>
  <c r="K85" i="4"/>
  <c r="H85" i="4"/>
  <c r="M84" i="4"/>
  <c r="K84" i="4"/>
  <c r="H84" i="4"/>
  <c r="M83" i="4"/>
  <c r="K83" i="4"/>
  <c r="H83" i="4"/>
  <c r="M82" i="4"/>
  <c r="K82" i="4"/>
  <c r="H82" i="4"/>
  <c r="M81" i="4"/>
  <c r="K81" i="4"/>
  <c r="H81" i="4"/>
  <c r="M80" i="4"/>
  <c r="K80" i="4"/>
  <c r="H80" i="4"/>
  <c r="M79" i="4"/>
  <c r="K79" i="4"/>
  <c r="H79" i="4"/>
  <c r="M78" i="4"/>
  <c r="K78" i="4"/>
  <c r="H78" i="4"/>
  <c r="M77" i="4"/>
  <c r="K77" i="4"/>
  <c r="H77" i="4"/>
  <c r="M76" i="4"/>
  <c r="K76" i="4"/>
  <c r="H76" i="4"/>
  <c r="M75" i="4"/>
  <c r="K75" i="4"/>
  <c r="H75" i="4"/>
  <c r="M74" i="4"/>
  <c r="K74" i="4"/>
  <c r="H74" i="4"/>
  <c r="M73" i="4"/>
  <c r="K73" i="4"/>
  <c r="H73" i="4"/>
  <c r="M72" i="4"/>
  <c r="K72" i="4"/>
  <c r="H72" i="4"/>
  <c r="M71" i="4"/>
  <c r="K71" i="4"/>
  <c r="H71" i="4"/>
  <c r="M70" i="4"/>
  <c r="K70" i="4"/>
  <c r="H70" i="4"/>
  <c r="M69" i="4"/>
  <c r="K69" i="4"/>
  <c r="H69" i="4"/>
  <c r="M68" i="4"/>
  <c r="K68" i="4"/>
  <c r="H68" i="4"/>
  <c r="M67" i="4"/>
  <c r="K67" i="4"/>
  <c r="H67" i="4"/>
  <c r="M66" i="4"/>
  <c r="K66" i="4"/>
  <c r="H66" i="4"/>
  <c r="M65" i="4"/>
  <c r="K65" i="4"/>
  <c r="H65" i="4"/>
  <c r="M64" i="4"/>
  <c r="K64" i="4"/>
  <c r="H64" i="4"/>
  <c r="M63" i="4"/>
  <c r="K63" i="4"/>
  <c r="H63" i="4"/>
  <c r="M62" i="4"/>
  <c r="K62" i="4"/>
  <c r="H62" i="4"/>
  <c r="M61" i="4"/>
  <c r="K61" i="4"/>
  <c r="H61" i="4"/>
  <c r="M60" i="4"/>
  <c r="K60" i="4"/>
  <c r="H60" i="4"/>
  <c r="M59" i="4"/>
  <c r="K59" i="4"/>
  <c r="H59" i="4"/>
  <c r="M58" i="4"/>
  <c r="K58" i="4"/>
  <c r="H58" i="4"/>
  <c r="M57" i="4"/>
  <c r="K57" i="4"/>
  <c r="H57" i="4"/>
  <c r="M56" i="4"/>
  <c r="K56" i="4"/>
  <c r="H56" i="4"/>
  <c r="M55" i="4"/>
  <c r="K55" i="4"/>
  <c r="H55" i="4"/>
  <c r="M54" i="4"/>
  <c r="K54" i="4"/>
  <c r="H54" i="4"/>
  <c r="M53" i="4"/>
  <c r="K53" i="4"/>
  <c r="H53" i="4"/>
  <c r="M52" i="4"/>
  <c r="K52" i="4"/>
  <c r="H52" i="4"/>
  <c r="M51" i="4"/>
  <c r="K51" i="4"/>
  <c r="H51" i="4"/>
  <c r="M50" i="4"/>
  <c r="K50" i="4"/>
  <c r="H50" i="4"/>
  <c r="M49" i="4"/>
  <c r="K49" i="4"/>
  <c r="H49" i="4"/>
  <c r="M48" i="4"/>
  <c r="K48" i="4"/>
  <c r="H48" i="4"/>
  <c r="M47" i="4"/>
  <c r="K47" i="4"/>
  <c r="H47" i="4"/>
  <c r="M46" i="4"/>
  <c r="K46" i="4"/>
  <c r="H46" i="4"/>
  <c r="M45" i="4"/>
  <c r="K45" i="4"/>
  <c r="H45" i="4"/>
  <c r="M44" i="4"/>
  <c r="K44" i="4"/>
  <c r="H44" i="4"/>
  <c r="M43" i="4"/>
  <c r="K43" i="4"/>
  <c r="H43" i="4"/>
  <c r="M42" i="4"/>
  <c r="K42" i="4"/>
  <c r="H42" i="4"/>
  <c r="M41" i="4"/>
  <c r="K41" i="4"/>
  <c r="H41" i="4"/>
  <c r="M40" i="4"/>
  <c r="K40" i="4"/>
  <c r="H40" i="4"/>
  <c r="M39" i="4"/>
  <c r="K39" i="4"/>
  <c r="H39" i="4"/>
  <c r="M38" i="4"/>
  <c r="K38" i="4"/>
  <c r="H38" i="4"/>
  <c r="M37" i="4"/>
  <c r="K37" i="4"/>
  <c r="H37" i="4"/>
  <c r="M36" i="4"/>
  <c r="K36" i="4"/>
  <c r="H36" i="4"/>
  <c r="M35" i="4"/>
  <c r="K35" i="4"/>
  <c r="H35" i="4"/>
  <c r="M34" i="4"/>
  <c r="K34" i="4"/>
  <c r="H34" i="4"/>
  <c r="M33" i="4"/>
  <c r="K33" i="4"/>
  <c r="H33" i="4"/>
  <c r="M32" i="4"/>
  <c r="K32" i="4"/>
  <c r="H32" i="4"/>
  <c r="M31" i="4"/>
  <c r="K31" i="4"/>
  <c r="H31" i="4"/>
  <c r="M30" i="4"/>
  <c r="K30" i="4"/>
  <c r="H30" i="4"/>
  <c r="M29" i="4"/>
  <c r="K29" i="4"/>
  <c r="H29" i="4"/>
  <c r="M28" i="4"/>
  <c r="K28" i="4"/>
  <c r="H28" i="4"/>
  <c r="M27" i="4"/>
  <c r="K27" i="4"/>
  <c r="H27" i="4"/>
  <c r="M26" i="4"/>
  <c r="K26" i="4"/>
  <c r="H26" i="4"/>
  <c r="M25" i="4"/>
  <c r="K25" i="4"/>
  <c r="H25" i="4"/>
  <c r="M24" i="4"/>
  <c r="K24" i="4"/>
  <c r="H24" i="4"/>
  <c r="M23" i="4"/>
  <c r="K23" i="4"/>
  <c r="H23" i="4"/>
  <c r="M22" i="4"/>
  <c r="K22" i="4"/>
  <c r="H22" i="4"/>
  <c r="M21" i="4"/>
  <c r="K21" i="4"/>
  <c r="H21" i="4"/>
  <c r="M20" i="4"/>
  <c r="K20" i="4"/>
  <c r="H20" i="4"/>
  <c r="M19" i="4"/>
  <c r="K19" i="4"/>
  <c r="H19" i="4"/>
  <c r="M18" i="4"/>
  <c r="K18" i="4"/>
  <c r="H18" i="4"/>
  <c r="M17" i="4"/>
  <c r="K17" i="4"/>
  <c r="H17" i="4"/>
  <c r="M16" i="4"/>
  <c r="K16" i="4"/>
  <c r="H16" i="4"/>
  <c r="M15" i="4"/>
  <c r="K15" i="4"/>
  <c r="H15" i="4"/>
  <c r="M14" i="4"/>
  <c r="K14" i="4"/>
  <c r="H14" i="4"/>
  <c r="M13" i="4"/>
  <c r="K13" i="4"/>
  <c r="H13" i="4"/>
  <c r="M12" i="4"/>
  <c r="K12" i="4"/>
  <c r="H12" i="4"/>
  <c r="M11" i="4"/>
  <c r="K11" i="4"/>
  <c r="H11" i="4"/>
  <c r="M10" i="4"/>
  <c r="K10" i="4"/>
  <c r="H10" i="4"/>
  <c r="M9" i="4"/>
  <c r="K9" i="4"/>
  <c r="H9" i="4"/>
  <c r="M8" i="4"/>
  <c r="K8" i="4"/>
  <c r="H8" i="4"/>
  <c r="M7" i="4"/>
  <c r="K7" i="4"/>
  <c r="H7" i="4"/>
  <c r="M6" i="4"/>
  <c r="K6" i="4"/>
  <c r="H6" i="4"/>
  <c r="I3" i="4"/>
  <c r="E57" i="3"/>
  <c r="M55" i="3"/>
  <c r="G55" i="3"/>
  <c r="F55" i="3"/>
  <c r="M54" i="3"/>
  <c r="G54" i="3"/>
  <c r="F54" i="3"/>
  <c r="M53" i="3"/>
  <c r="G53" i="3"/>
  <c r="F53" i="3"/>
  <c r="M52" i="3"/>
  <c r="G52" i="3"/>
  <c r="F52" i="3"/>
  <c r="M51" i="3"/>
  <c r="G51" i="3"/>
  <c r="F51" i="3"/>
  <c r="M50" i="3"/>
  <c r="G50" i="3"/>
  <c r="F50" i="3"/>
  <c r="M49" i="3"/>
  <c r="G49" i="3"/>
  <c r="F49" i="3"/>
  <c r="M48" i="3"/>
  <c r="G48" i="3"/>
  <c r="F48" i="3"/>
  <c r="M47" i="3"/>
  <c r="G47" i="3"/>
  <c r="F47" i="3"/>
  <c r="M46" i="3"/>
  <c r="G46" i="3"/>
  <c r="F46" i="3"/>
  <c r="M45" i="3"/>
  <c r="G45" i="3"/>
  <c r="F45" i="3"/>
  <c r="M44" i="3"/>
  <c r="G44" i="3"/>
  <c r="F44" i="3"/>
  <c r="M43" i="3"/>
  <c r="G43" i="3"/>
  <c r="F43" i="3"/>
  <c r="M42" i="3"/>
  <c r="G42" i="3"/>
  <c r="F42" i="3"/>
  <c r="M41" i="3"/>
  <c r="G41" i="3"/>
  <c r="F41" i="3"/>
  <c r="M40" i="3"/>
  <c r="G40" i="3"/>
  <c r="F40" i="3"/>
  <c r="M39" i="3"/>
  <c r="G39" i="3"/>
  <c r="F39" i="3"/>
  <c r="M38" i="3"/>
  <c r="G38" i="3"/>
  <c r="F38" i="3"/>
  <c r="M37" i="3"/>
  <c r="G37" i="3"/>
  <c r="F37" i="3"/>
  <c r="M36" i="3"/>
  <c r="G36" i="3"/>
  <c r="F36" i="3"/>
  <c r="M35" i="3"/>
  <c r="G35" i="3"/>
  <c r="F35" i="3"/>
  <c r="M34" i="3"/>
  <c r="G34" i="3"/>
  <c r="F34" i="3"/>
  <c r="M33" i="3"/>
  <c r="G33" i="3"/>
  <c r="F33" i="3"/>
  <c r="M32" i="3"/>
  <c r="G32" i="3"/>
  <c r="F32" i="3"/>
  <c r="M31" i="3"/>
  <c r="G31" i="3"/>
  <c r="F31" i="3"/>
  <c r="M30" i="3"/>
  <c r="G30" i="3"/>
  <c r="F30" i="3"/>
  <c r="M29" i="3"/>
  <c r="G29" i="3"/>
  <c r="F29" i="3"/>
  <c r="M28" i="3"/>
  <c r="G28" i="3"/>
  <c r="F28" i="3"/>
  <c r="M27" i="3"/>
  <c r="G27" i="3"/>
  <c r="F27" i="3"/>
  <c r="M26" i="3"/>
  <c r="G26" i="3"/>
  <c r="F26" i="3"/>
  <c r="M25" i="3"/>
  <c r="F25" i="3"/>
  <c r="M24" i="3"/>
  <c r="F24" i="3"/>
  <c r="M23" i="3"/>
  <c r="F23" i="3"/>
  <c r="M22" i="3"/>
  <c r="F22" i="3"/>
  <c r="M21" i="3"/>
  <c r="F21" i="3"/>
  <c r="M20" i="3"/>
  <c r="F20" i="3"/>
  <c r="M19" i="3"/>
  <c r="F19" i="3"/>
  <c r="M18" i="3"/>
  <c r="F18" i="3"/>
  <c r="M17" i="3"/>
  <c r="F17" i="3"/>
  <c r="M16" i="3"/>
  <c r="F16" i="3"/>
  <c r="M15" i="3"/>
  <c r="F15" i="3"/>
  <c r="M14" i="3"/>
  <c r="F14" i="3"/>
  <c r="M13" i="3"/>
  <c r="F13" i="3"/>
  <c r="M12" i="3"/>
  <c r="F12" i="3"/>
  <c r="M11" i="3"/>
  <c r="F11" i="3"/>
  <c r="M10" i="3"/>
  <c r="F10" i="3"/>
  <c r="M9" i="3"/>
  <c r="F9" i="3"/>
  <c r="M8" i="3"/>
  <c r="F8" i="3"/>
  <c r="F7" i="3"/>
  <c r="F6" i="3"/>
  <c r="C3" i="3"/>
  <c r="B51" i="2"/>
  <c r="J16" i="2"/>
  <c r="E16" i="2"/>
  <c r="J15" i="2"/>
  <c r="E15" i="2"/>
  <c r="J14" i="2"/>
  <c r="E14" i="2"/>
  <c r="J13" i="2"/>
  <c r="E13" i="2"/>
  <c r="J12" i="2"/>
  <c r="E12" i="2"/>
  <c r="J11" i="2"/>
  <c r="E11" i="2"/>
  <c r="J10" i="2"/>
  <c r="E10" i="2"/>
  <c r="J9" i="2"/>
  <c r="E9" i="2"/>
  <c r="J8" i="2"/>
  <c r="E8" i="2"/>
  <c r="J7" i="2"/>
  <c r="E7" i="2"/>
  <c r="G12" i="1"/>
  <c r="J108" i="9"/>
  <c r="I108" i="9"/>
  <c r="G108" i="9"/>
  <c r="E108" i="9"/>
  <c r="B108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D15" i="19" l="1"/>
  <c r="C15" i="19"/>
  <c r="B15" i="19"/>
  <c r="D14" i="19"/>
  <c r="C14" i="19"/>
  <c r="B14" i="19"/>
  <c r="C13" i="19"/>
  <c r="B13" i="19"/>
  <c r="D12" i="19"/>
  <c r="C12" i="19"/>
  <c r="B12" i="19"/>
  <c r="C11" i="19"/>
  <c r="B11" i="19"/>
  <c r="C10" i="19"/>
  <c r="B10" i="19"/>
  <c r="D9" i="19"/>
  <c r="C9" i="19"/>
  <c r="C8" i="19"/>
  <c r="C7" i="19"/>
  <c r="C6" i="19"/>
  <c r="B6" i="19"/>
  <c r="C5" i="19"/>
  <c r="C4" i="19"/>
  <c r="C17" i="19" s="1"/>
  <c r="K108" i="18"/>
  <c r="E15" i="19" s="1"/>
  <c r="K108" i="17"/>
  <c r="E14" i="19" s="1"/>
  <c r="K108" i="16"/>
  <c r="E13" i="19" s="1"/>
  <c r="K108" i="15"/>
  <c r="E12" i="19" s="1"/>
  <c r="I53" i="6"/>
  <c r="R52" i="6"/>
  <c r="I47" i="6"/>
  <c r="I38" i="6"/>
  <c r="R33" i="6"/>
  <c r="K108" i="14"/>
  <c r="E11" i="19" s="1"/>
  <c r="K108" i="13"/>
  <c r="E10" i="19" s="1"/>
  <c r="K108" i="12"/>
  <c r="E9" i="19" s="1"/>
  <c r="K108" i="7"/>
  <c r="E4" i="19" s="1"/>
  <c r="R53" i="6"/>
  <c r="I51" i="6"/>
  <c r="I50" i="6"/>
  <c r="I49" i="6"/>
  <c r="R45" i="6"/>
  <c r="R34" i="6"/>
  <c r="R32" i="6"/>
  <c r="I31" i="6"/>
  <c r="K108" i="11"/>
  <c r="E8" i="19" s="1"/>
  <c r="K108" i="10"/>
  <c r="E7" i="19" s="1"/>
  <c r="H57" i="6"/>
  <c r="R56" i="6"/>
  <c r="R55" i="6"/>
  <c r="R51" i="6"/>
  <c r="R50" i="6"/>
  <c r="R48" i="6"/>
  <c r="R44" i="6"/>
  <c r="I34" i="6"/>
  <c r="D89" i="6"/>
  <c r="C89" i="6"/>
  <c r="D88" i="6"/>
  <c r="C88" i="6"/>
  <c r="D87" i="6"/>
  <c r="C87" i="6"/>
  <c r="D86" i="6"/>
  <c r="C86" i="6"/>
  <c r="D85" i="6"/>
  <c r="C85" i="6"/>
  <c r="D84" i="6"/>
  <c r="C84" i="6"/>
  <c r="Q75" i="6"/>
  <c r="P75" i="6"/>
  <c r="F89" i="6" s="1"/>
  <c r="O75" i="6"/>
  <c r="E89" i="6" s="1"/>
  <c r="H75" i="6"/>
  <c r="G75" i="6"/>
  <c r="F88" i="6" s="1"/>
  <c r="F75" i="6"/>
  <c r="E88" i="6" s="1"/>
  <c r="R74" i="6"/>
  <c r="I74" i="6"/>
  <c r="R73" i="6"/>
  <c r="I73" i="6"/>
  <c r="R72" i="6"/>
  <c r="I72" i="6"/>
  <c r="R71" i="6"/>
  <c r="I71" i="6"/>
  <c r="R70" i="6"/>
  <c r="I70" i="6"/>
  <c r="R69" i="6"/>
  <c r="I69" i="6"/>
  <c r="R68" i="6"/>
  <c r="I68" i="6"/>
  <c r="R67" i="6"/>
  <c r="I67" i="6"/>
  <c r="R66" i="6"/>
  <c r="I66" i="6"/>
  <c r="R65" i="6"/>
  <c r="I65" i="6"/>
  <c r="R64" i="6"/>
  <c r="I64" i="6"/>
  <c r="R63" i="6"/>
  <c r="I63" i="6"/>
  <c r="R62" i="6"/>
  <c r="R75" i="6" s="1"/>
  <c r="G89" i="6" s="1"/>
  <c r="I62" i="6"/>
  <c r="I75" i="6" s="1"/>
  <c r="G88" i="6" s="1"/>
  <c r="Q57" i="6"/>
  <c r="P57" i="6"/>
  <c r="F87" i="6" s="1"/>
  <c r="O57" i="6"/>
  <c r="E87" i="6" s="1"/>
  <c r="F57" i="6"/>
  <c r="E86" i="6" s="1"/>
  <c r="I54" i="6"/>
  <c r="I45" i="6"/>
  <c r="I44" i="6"/>
  <c r="R31" i="6"/>
  <c r="P30" i="6"/>
  <c r="G30" i="6"/>
  <c r="P29" i="6"/>
  <c r="G29" i="6"/>
  <c r="P28" i="6"/>
  <c r="G28" i="6"/>
  <c r="P27" i="6"/>
  <c r="G27" i="6"/>
  <c r="P26" i="6"/>
  <c r="P39" i="6" s="1"/>
  <c r="F85" i="6" s="1"/>
  <c r="I26" i="6"/>
  <c r="G26" i="6"/>
  <c r="Q21" i="6"/>
  <c r="O21" i="6"/>
  <c r="E83" i="6" s="1"/>
  <c r="H21" i="6"/>
  <c r="F21" i="6"/>
  <c r="E82" i="6" s="1"/>
  <c r="R20" i="6"/>
  <c r="I20" i="6"/>
  <c r="R19" i="6"/>
  <c r="I19" i="6"/>
  <c r="R18" i="6"/>
  <c r="I18" i="6"/>
  <c r="R17" i="6"/>
  <c r="I17" i="6"/>
  <c r="R16" i="6"/>
  <c r="I16" i="6"/>
  <c r="R15" i="6"/>
  <c r="I15" i="6"/>
  <c r="R14" i="6"/>
  <c r="I14" i="6"/>
  <c r="P13" i="6"/>
  <c r="I13" i="6"/>
  <c r="G13" i="6"/>
  <c r="P12" i="6"/>
  <c r="I12" i="6"/>
  <c r="G12" i="6"/>
  <c r="P11" i="6"/>
  <c r="G11" i="6"/>
  <c r="P10" i="6"/>
  <c r="G10" i="6"/>
  <c r="P9" i="6"/>
  <c r="I9" i="6"/>
  <c r="G9" i="6"/>
  <c r="P8" i="6"/>
  <c r="P21" i="6" s="1"/>
  <c r="F83" i="6" s="1"/>
  <c r="G8" i="6"/>
  <c r="G21" i="6" s="1"/>
  <c r="F82" i="6" s="1"/>
  <c r="C12" i="5"/>
  <c r="C18" i="5" s="1"/>
  <c r="G11" i="5" s="1"/>
  <c r="K107" i="4"/>
  <c r="H107" i="4"/>
  <c r="K111" i="4" s="1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G25" i="3"/>
  <c r="G24" i="3"/>
  <c r="G23" i="3"/>
  <c r="G22" i="3"/>
  <c r="G21" i="3"/>
  <c r="G20" i="3"/>
  <c r="I36" i="6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J18" i="2"/>
  <c r="E18" i="2"/>
  <c r="K108" i="9"/>
  <c r="E6" i="19" s="1"/>
  <c r="Q39" i="6"/>
  <c r="R38" i="6"/>
  <c r="R36" i="6"/>
  <c r="R54" i="6"/>
  <c r="I52" i="6"/>
  <c r="I48" i="6"/>
  <c r="F39" i="6"/>
  <c r="E84" i="6" s="1"/>
  <c r="R37" i="6"/>
  <c r="D13" i="19"/>
  <c r="D11" i="19"/>
  <c r="D10" i="19"/>
  <c r="B9" i="19"/>
  <c r="D8" i="19"/>
  <c r="B8" i="19"/>
  <c r="D7" i="19"/>
  <c r="B7" i="19"/>
  <c r="D6" i="19"/>
  <c r="D5" i="19"/>
  <c r="B5" i="19"/>
  <c r="D4" i="19"/>
  <c r="D17" i="19" s="1"/>
  <c r="B4" i="19"/>
  <c r="B17" i="19" s="1"/>
  <c r="K108" i="8"/>
  <c r="E5" i="19" s="1"/>
  <c r="G57" i="6"/>
  <c r="F86" i="6" s="1"/>
  <c r="I56" i="6"/>
  <c r="I55" i="6"/>
  <c r="R49" i="6"/>
  <c r="R47" i="6"/>
  <c r="R46" i="6"/>
  <c r="I46" i="6"/>
  <c r="O39" i="6"/>
  <c r="E85" i="6" s="1"/>
  <c r="H39" i="6"/>
  <c r="I37" i="6"/>
  <c r="R35" i="6"/>
  <c r="I35" i="6"/>
  <c r="I33" i="6"/>
  <c r="I32" i="6"/>
  <c r="L105" i="4" l="1"/>
  <c r="O105" i="4" s="1"/>
  <c r="N105" i="4"/>
  <c r="L104" i="4"/>
  <c r="O104" i="4" s="1"/>
  <c r="N104" i="4"/>
  <c r="L103" i="4"/>
  <c r="O103" i="4" s="1"/>
  <c r="N103" i="4"/>
  <c r="L102" i="4"/>
  <c r="O102" i="4" s="1"/>
  <c r="N102" i="4"/>
  <c r="L101" i="4"/>
  <c r="O101" i="4" s="1"/>
  <c r="N101" i="4"/>
  <c r="L100" i="4"/>
  <c r="O100" i="4" s="1"/>
  <c r="N100" i="4"/>
  <c r="L99" i="4"/>
  <c r="O99" i="4" s="1"/>
  <c r="N99" i="4"/>
  <c r="L98" i="4"/>
  <c r="O98" i="4" s="1"/>
  <c r="N98" i="4"/>
  <c r="L97" i="4"/>
  <c r="O97" i="4" s="1"/>
  <c r="N97" i="4"/>
  <c r="L96" i="4"/>
  <c r="O96" i="4" s="1"/>
  <c r="N96" i="4"/>
  <c r="L95" i="4"/>
  <c r="O95" i="4" s="1"/>
  <c r="N95" i="4"/>
  <c r="L94" i="4"/>
  <c r="O94" i="4" s="1"/>
  <c r="N94" i="4"/>
  <c r="L93" i="4"/>
  <c r="O93" i="4" s="1"/>
  <c r="N93" i="4"/>
  <c r="L92" i="4"/>
  <c r="O92" i="4" s="1"/>
  <c r="N92" i="4"/>
  <c r="L91" i="4"/>
  <c r="O91" i="4" s="1"/>
  <c r="N91" i="4"/>
  <c r="L90" i="4"/>
  <c r="O90" i="4" s="1"/>
  <c r="N90" i="4"/>
  <c r="L89" i="4"/>
  <c r="O89" i="4" s="1"/>
  <c r="N89" i="4"/>
  <c r="L88" i="4"/>
  <c r="O88" i="4" s="1"/>
  <c r="N88" i="4"/>
  <c r="L87" i="4"/>
  <c r="O87" i="4" s="1"/>
  <c r="N87" i="4"/>
  <c r="L86" i="4"/>
  <c r="O86" i="4" s="1"/>
  <c r="N86" i="4"/>
  <c r="L85" i="4"/>
  <c r="O85" i="4" s="1"/>
  <c r="N85" i="4"/>
  <c r="L84" i="4"/>
  <c r="O84" i="4" s="1"/>
  <c r="N84" i="4"/>
  <c r="L83" i="4"/>
  <c r="O83" i="4" s="1"/>
  <c r="N83" i="4"/>
  <c r="L82" i="4"/>
  <c r="O82" i="4" s="1"/>
  <c r="N82" i="4"/>
  <c r="L81" i="4"/>
  <c r="O81" i="4" s="1"/>
  <c r="N81" i="4"/>
  <c r="L80" i="4"/>
  <c r="O80" i="4" s="1"/>
  <c r="N80" i="4"/>
  <c r="L79" i="4"/>
  <c r="O79" i="4" s="1"/>
  <c r="N79" i="4"/>
  <c r="L78" i="4"/>
  <c r="O78" i="4" s="1"/>
  <c r="N78" i="4"/>
  <c r="L77" i="4"/>
  <c r="O77" i="4" s="1"/>
  <c r="N77" i="4"/>
  <c r="L76" i="4"/>
  <c r="O76" i="4" s="1"/>
  <c r="N76" i="4"/>
  <c r="L75" i="4"/>
  <c r="O75" i="4" s="1"/>
  <c r="N75" i="4"/>
  <c r="L74" i="4"/>
  <c r="O74" i="4" s="1"/>
  <c r="N74" i="4"/>
  <c r="L73" i="4"/>
  <c r="O73" i="4" s="1"/>
  <c r="N73" i="4"/>
  <c r="L72" i="4"/>
  <c r="O72" i="4" s="1"/>
  <c r="N72" i="4"/>
  <c r="L71" i="4"/>
  <c r="O71" i="4" s="1"/>
  <c r="N71" i="4"/>
  <c r="L70" i="4"/>
  <c r="O70" i="4" s="1"/>
  <c r="N70" i="4"/>
  <c r="L69" i="4"/>
  <c r="O69" i="4" s="1"/>
  <c r="N69" i="4"/>
  <c r="L68" i="4"/>
  <c r="O68" i="4" s="1"/>
  <c r="N68" i="4"/>
  <c r="L67" i="4"/>
  <c r="O67" i="4" s="1"/>
  <c r="N67" i="4"/>
  <c r="L66" i="4"/>
  <c r="O66" i="4" s="1"/>
  <c r="N66" i="4"/>
  <c r="L65" i="4"/>
  <c r="O65" i="4" s="1"/>
  <c r="N65" i="4"/>
  <c r="L64" i="4"/>
  <c r="O64" i="4" s="1"/>
  <c r="N64" i="4"/>
  <c r="L63" i="4"/>
  <c r="O63" i="4" s="1"/>
  <c r="N63" i="4"/>
  <c r="L62" i="4"/>
  <c r="O62" i="4" s="1"/>
  <c r="N62" i="4"/>
  <c r="L61" i="4"/>
  <c r="O61" i="4" s="1"/>
  <c r="N61" i="4"/>
  <c r="L60" i="4"/>
  <c r="O60" i="4" s="1"/>
  <c r="N60" i="4"/>
  <c r="L59" i="4"/>
  <c r="O59" i="4" s="1"/>
  <c r="N59" i="4"/>
  <c r="L58" i="4"/>
  <c r="O58" i="4" s="1"/>
  <c r="N58" i="4"/>
  <c r="L57" i="4"/>
  <c r="O57" i="4" s="1"/>
  <c r="N57" i="4"/>
  <c r="L56" i="4"/>
  <c r="O56" i="4" s="1"/>
  <c r="N56" i="4"/>
  <c r="L55" i="4"/>
  <c r="O55" i="4" s="1"/>
  <c r="N55" i="4"/>
  <c r="L54" i="4"/>
  <c r="O54" i="4" s="1"/>
  <c r="N54" i="4"/>
  <c r="L53" i="4"/>
  <c r="O53" i="4" s="1"/>
  <c r="N53" i="4"/>
  <c r="L52" i="4"/>
  <c r="O52" i="4" s="1"/>
  <c r="N52" i="4"/>
  <c r="L51" i="4"/>
  <c r="O51" i="4" s="1"/>
  <c r="N51" i="4"/>
  <c r="L50" i="4"/>
  <c r="O50" i="4" s="1"/>
  <c r="N50" i="4"/>
  <c r="L49" i="4"/>
  <c r="O49" i="4" s="1"/>
  <c r="N49" i="4"/>
  <c r="L48" i="4"/>
  <c r="O48" i="4" s="1"/>
  <c r="N48" i="4"/>
  <c r="L47" i="4"/>
  <c r="O47" i="4" s="1"/>
  <c r="N47" i="4"/>
  <c r="L46" i="4"/>
  <c r="O46" i="4" s="1"/>
  <c r="N46" i="4"/>
  <c r="L45" i="4"/>
  <c r="O45" i="4" s="1"/>
  <c r="N45" i="4"/>
  <c r="L44" i="4"/>
  <c r="O44" i="4" s="1"/>
  <c r="N44" i="4"/>
  <c r="L43" i="4"/>
  <c r="O43" i="4" s="1"/>
  <c r="N43" i="4"/>
  <c r="L42" i="4"/>
  <c r="O42" i="4" s="1"/>
  <c r="N42" i="4"/>
  <c r="L41" i="4"/>
  <c r="O41" i="4" s="1"/>
  <c r="N41" i="4"/>
  <c r="L40" i="4"/>
  <c r="O40" i="4" s="1"/>
  <c r="N40" i="4"/>
  <c r="L39" i="4"/>
  <c r="O39" i="4" s="1"/>
  <c r="N39" i="4"/>
  <c r="L38" i="4"/>
  <c r="O38" i="4" s="1"/>
  <c r="N38" i="4"/>
  <c r="L37" i="4"/>
  <c r="O37" i="4" s="1"/>
  <c r="N37" i="4"/>
  <c r="L36" i="4"/>
  <c r="O36" i="4" s="1"/>
  <c r="N36" i="4"/>
  <c r="L35" i="4"/>
  <c r="O35" i="4" s="1"/>
  <c r="N35" i="4"/>
  <c r="L34" i="4"/>
  <c r="O34" i="4" s="1"/>
  <c r="N34" i="4"/>
  <c r="L33" i="4"/>
  <c r="O33" i="4" s="1"/>
  <c r="N33" i="4"/>
  <c r="L32" i="4"/>
  <c r="O32" i="4" s="1"/>
  <c r="N32" i="4"/>
  <c r="L31" i="4"/>
  <c r="O31" i="4" s="1"/>
  <c r="N31" i="4"/>
  <c r="L30" i="4"/>
  <c r="O30" i="4" s="1"/>
  <c r="N30" i="4"/>
  <c r="L29" i="4"/>
  <c r="O29" i="4" s="1"/>
  <c r="N29" i="4"/>
  <c r="L28" i="4"/>
  <c r="O28" i="4" s="1"/>
  <c r="N28" i="4"/>
  <c r="L27" i="4"/>
  <c r="O27" i="4" s="1"/>
  <c r="N27" i="4"/>
  <c r="L26" i="4"/>
  <c r="O26" i="4" s="1"/>
  <c r="N26" i="4"/>
  <c r="L25" i="4"/>
  <c r="O25" i="4" s="1"/>
  <c r="N25" i="4"/>
  <c r="L24" i="4"/>
  <c r="O24" i="4" s="1"/>
  <c r="N24" i="4"/>
  <c r="L23" i="4"/>
  <c r="O23" i="4" s="1"/>
  <c r="N23" i="4"/>
  <c r="L22" i="4"/>
  <c r="O22" i="4" s="1"/>
  <c r="N22" i="4"/>
  <c r="L21" i="4"/>
  <c r="O21" i="4" s="1"/>
  <c r="N21" i="4"/>
  <c r="L20" i="4"/>
  <c r="N20" i="4"/>
  <c r="L19" i="4"/>
  <c r="N19" i="4"/>
  <c r="L18" i="4"/>
  <c r="N18" i="4"/>
  <c r="L17" i="4"/>
  <c r="N17" i="4"/>
  <c r="L16" i="4"/>
  <c r="N16" i="4"/>
  <c r="L15" i="4"/>
  <c r="N15" i="4"/>
  <c r="L14" i="4"/>
  <c r="N14" i="4"/>
  <c r="L13" i="4"/>
  <c r="N13" i="4"/>
  <c r="L12" i="4"/>
  <c r="N12" i="4"/>
  <c r="L11" i="4"/>
  <c r="N11" i="4"/>
  <c r="L10" i="4"/>
  <c r="N10" i="4"/>
  <c r="L9" i="4"/>
  <c r="N9" i="4"/>
  <c r="L8" i="4"/>
  <c r="N8" i="4"/>
  <c r="L7" i="4"/>
  <c r="O7" i="4" s="1"/>
  <c r="N7" i="4"/>
  <c r="L6" i="4"/>
  <c r="N6" i="4"/>
  <c r="J107" i="4"/>
  <c r="B111" i="4" s="1"/>
  <c r="L55" i="3"/>
  <c r="N55" i="3"/>
  <c r="O55" i="3"/>
  <c r="L54" i="3"/>
  <c r="N54" i="3"/>
  <c r="O54" i="3"/>
  <c r="L53" i="3"/>
  <c r="N53" i="3"/>
  <c r="O53" i="3"/>
  <c r="L52" i="3"/>
  <c r="N52" i="3"/>
  <c r="O52" i="3"/>
  <c r="L51" i="3"/>
  <c r="N51" i="3"/>
  <c r="O51" i="3"/>
  <c r="L50" i="3"/>
  <c r="N50" i="3"/>
  <c r="O50" i="3"/>
  <c r="L49" i="3"/>
  <c r="N49" i="3"/>
  <c r="O49" i="3"/>
  <c r="L48" i="3"/>
  <c r="N48" i="3"/>
  <c r="O48" i="3"/>
  <c r="L47" i="3"/>
  <c r="N47" i="3"/>
  <c r="O47" i="3"/>
  <c r="L46" i="3"/>
  <c r="N46" i="3"/>
  <c r="O46" i="3"/>
  <c r="L45" i="3"/>
  <c r="N45" i="3"/>
  <c r="O45" i="3"/>
  <c r="L44" i="3"/>
  <c r="N44" i="3"/>
  <c r="O44" i="3"/>
  <c r="L43" i="3"/>
  <c r="N43" i="3"/>
  <c r="O43" i="3"/>
  <c r="L42" i="3"/>
  <c r="N42" i="3"/>
  <c r="O42" i="3"/>
  <c r="L41" i="3"/>
  <c r="N41" i="3"/>
  <c r="O41" i="3"/>
  <c r="L40" i="3"/>
  <c r="N40" i="3"/>
  <c r="O40" i="3"/>
  <c r="L39" i="3"/>
  <c r="N39" i="3"/>
  <c r="O39" i="3"/>
  <c r="L38" i="3"/>
  <c r="N38" i="3"/>
  <c r="O38" i="3"/>
  <c r="L37" i="3"/>
  <c r="N37" i="3"/>
  <c r="O37" i="3"/>
  <c r="L36" i="3"/>
  <c r="N36" i="3"/>
  <c r="O36" i="3"/>
  <c r="L35" i="3"/>
  <c r="N35" i="3"/>
  <c r="O35" i="3"/>
  <c r="L34" i="3"/>
  <c r="N34" i="3"/>
  <c r="O34" i="3"/>
  <c r="L33" i="3"/>
  <c r="N33" i="3"/>
  <c r="O33" i="3"/>
  <c r="L32" i="3"/>
  <c r="N32" i="3"/>
  <c r="O32" i="3"/>
  <c r="L31" i="3"/>
  <c r="N31" i="3"/>
  <c r="O31" i="3"/>
  <c r="L30" i="3"/>
  <c r="N30" i="3"/>
  <c r="O30" i="3"/>
  <c r="L29" i="3"/>
  <c r="N29" i="3"/>
  <c r="O29" i="3"/>
  <c r="L28" i="3"/>
  <c r="N28" i="3"/>
  <c r="O28" i="3"/>
  <c r="L27" i="3"/>
  <c r="N27" i="3"/>
  <c r="O27" i="3"/>
  <c r="L26" i="3"/>
  <c r="N26" i="3"/>
  <c r="O26" i="3"/>
  <c r="I25" i="3"/>
  <c r="J25" i="3"/>
  <c r="I24" i="3"/>
  <c r="J24" i="3"/>
  <c r="I23" i="3"/>
  <c r="J23" i="3"/>
  <c r="I22" i="3"/>
  <c r="J22" i="3"/>
  <c r="I21" i="3"/>
  <c r="J21" i="3"/>
  <c r="I20" i="3"/>
  <c r="J20" i="3"/>
  <c r="I19" i="3"/>
  <c r="J19" i="3"/>
  <c r="I18" i="3"/>
  <c r="J18" i="3"/>
  <c r="I17" i="3"/>
  <c r="J17" i="3"/>
  <c r="I16" i="3"/>
  <c r="J16" i="3"/>
  <c r="I15" i="3"/>
  <c r="J15" i="3"/>
  <c r="I14" i="3"/>
  <c r="J14" i="3"/>
  <c r="I13" i="3"/>
  <c r="J13" i="3"/>
  <c r="I12" i="3"/>
  <c r="J12" i="3"/>
  <c r="I11" i="3"/>
  <c r="J11" i="3"/>
  <c r="I10" i="3"/>
  <c r="J10" i="3"/>
  <c r="I9" i="3"/>
  <c r="J9" i="3"/>
  <c r="I8" i="3"/>
  <c r="J8" i="3"/>
  <c r="I7" i="3"/>
  <c r="J7" i="3"/>
  <c r="I6" i="3"/>
  <c r="J6" i="3"/>
  <c r="J57" i="3" s="1"/>
  <c r="G57" i="3"/>
  <c r="E17" i="19"/>
  <c r="R57" i="6"/>
  <c r="G87" i="6" s="1"/>
  <c r="C90" i="6"/>
  <c r="R11" i="6"/>
  <c r="R10" i="6"/>
  <c r="R9" i="6"/>
  <c r="I57" i="6"/>
  <c r="G86" i="6" s="1"/>
  <c r="R30" i="6"/>
  <c r="I30" i="6"/>
  <c r="R29" i="6"/>
  <c r="I29" i="6"/>
  <c r="R28" i="6"/>
  <c r="I28" i="6"/>
  <c r="R27" i="6"/>
  <c r="I27" i="6"/>
  <c r="I39" i="6" s="1"/>
  <c r="G84" i="6" s="1"/>
  <c r="R26" i="6"/>
  <c r="R39" i="6" s="1"/>
  <c r="G85" i="6" s="1"/>
  <c r="R13" i="6"/>
  <c r="R12" i="6"/>
  <c r="R8" i="6"/>
  <c r="R21" i="6" s="1"/>
  <c r="G83" i="6" s="1"/>
  <c r="G39" i="6"/>
  <c r="F84" i="6" s="1"/>
  <c r="F90" i="6" s="1"/>
  <c r="E90" i="6"/>
  <c r="I11" i="6"/>
  <c r="D90" i="6"/>
  <c r="I10" i="6"/>
  <c r="I8" i="6"/>
  <c r="I21" i="6" s="1"/>
  <c r="G82" i="6" s="1"/>
  <c r="C21" i="5"/>
  <c r="G90" i="6" l="1"/>
  <c r="O6" i="4"/>
  <c r="L107" i="4"/>
  <c r="L25" i="3"/>
  <c r="N25" i="3"/>
  <c r="O25" i="3"/>
  <c r="L24" i="3"/>
  <c r="N24" i="3"/>
  <c r="O24" i="3"/>
  <c r="L23" i="3"/>
  <c r="N23" i="3"/>
  <c r="O23" i="3"/>
  <c r="L22" i="3"/>
  <c r="N22" i="3"/>
  <c r="O22" i="3"/>
  <c r="L21" i="3"/>
  <c r="N21" i="3"/>
  <c r="O21" i="3"/>
  <c r="L20" i="3"/>
  <c r="N20" i="3"/>
  <c r="O20" i="3"/>
  <c r="L19" i="3"/>
  <c r="N19" i="3"/>
  <c r="O19" i="3"/>
  <c r="L18" i="3"/>
  <c r="N18" i="3"/>
  <c r="L17" i="3"/>
  <c r="N17" i="3"/>
  <c r="O17" i="3"/>
  <c r="L16" i="3"/>
  <c r="N16" i="3"/>
  <c r="O16" i="3"/>
  <c r="L15" i="3"/>
  <c r="N15" i="3"/>
  <c r="O15" i="3"/>
  <c r="L14" i="3"/>
  <c r="N14" i="3"/>
  <c r="O14" i="3"/>
  <c r="L13" i="3"/>
  <c r="N13" i="3"/>
  <c r="L12" i="3"/>
  <c r="N12" i="3"/>
  <c r="O12" i="3"/>
  <c r="L11" i="3"/>
  <c r="N11" i="3"/>
  <c r="O11" i="3"/>
  <c r="L10" i="3"/>
  <c r="N10" i="3"/>
  <c r="O10" i="3"/>
  <c r="L9" i="3"/>
  <c r="N9" i="3"/>
  <c r="O9" i="3"/>
  <c r="L8" i="3"/>
  <c r="N8" i="3"/>
  <c r="O8" i="3"/>
  <c r="L7" i="3"/>
  <c r="N7" i="3"/>
  <c r="O7" i="3"/>
  <c r="L6" i="3"/>
  <c r="N6" i="3"/>
  <c r="O6" i="3"/>
  <c r="I57" i="3"/>
  <c r="G7" i="5"/>
  <c r="G6" i="5"/>
  <c r="G5" i="5"/>
  <c r="C25" i="5"/>
  <c r="C24" i="5"/>
  <c r="C23" i="5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N107" i="4"/>
  <c r="E111" i="4" s="1"/>
  <c r="L57" i="3" l="1"/>
  <c r="N57" i="3"/>
  <c r="O18" i="3"/>
  <c r="O13" i="3"/>
  <c r="O107" i="4"/>
  <c r="H111" i="4" s="1"/>
  <c r="O57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<sst xmlns="http://schemas.openxmlformats.org/spreadsheetml/2006/main" count="768" uniqueCount="347">
  <si>
    <t>AMYSA  · GESTIÓN DE VENTAS POR CATÁLOGO</t>
  </si>
  <si>
    <t>Yanbal  •  Esika  •  Cyzone  •  LBel  •  Natura  •  Avon  •  Farmasi  •  Oriflame</t>
  </si>
  <si>
    <t>⚙️  CONFIGURA TU SISTEMA AQUÍ (solo toca estas 3 celdas)</t>
  </si>
  <si>
    <t>👤  Tu nombre de consultora:</t>
  </si>
  <si>
    <t>MARIABEL</t>
  </si>
  <si>
    <t>← escribe tu nombre aquí</t>
  </si>
  <si>
    <t>💰  Tu % de comisión base:</t>
  </si>
  <si>
    <t>Precio de comision que las vendedoras (en caso la tengas o tu misma si eres la que vende tambien) reciben</t>
  </si>
  <si>
    <t>📅  Año de control:</t>
  </si>
  <si>
    <t>← el año que estás registrando</t>
  </si>
  <si>
    <t>📋  GUÍA DE HOJAS — ¿QUÉ HACE CADA UNA?</t>
  </si>
  <si>
    <t>💰  PRECIOS BASE</t>
  </si>
  <si>
    <t>Tu menú permanente de productos: qué te cuesta, cuánto venderlo y tu margen.</t>
  </si>
  <si>
    <t>📌 CONFIGURA UNA VEZ. Solo cuando agregas un producto nuevo o cambia su precio.</t>
  </si>
  <si>
    <t>📊  CALCULADORA CAMPAÑA</t>
  </si>
  <si>
    <t>Registra los productos vendidos en UNA campaña y calcula ganancia + comisión.</t>
  </si>
  <si>
    <t>✅ ÚSALA CADA CAMPAÑA. Una campaña = una vez cada ~3 semanas.</t>
  </si>
  <si>
    <t>💵  ¿CUÁNTO ME PAGO?</t>
  </si>
  <si>
    <t>Tu sueldo real: cuánto separar para pagarte, cubrir costos y reinvertir.</t>
  </si>
  <si>
    <t>🎯 REVÍSALA CADA CAMPAÑA. Aquí sabes si tu negocio es rentable.</t>
  </si>
  <si>
    <t>🗂️  MONITOREO CATÁLOGOS</t>
  </si>
  <si>
    <t>Resumen por catálogo: factura, ventas reales y ganancia neta por marca.</t>
  </si>
  <si>
    <t>📈 ÚSALA CADA MES. Ingresa factura y ventas reales de cada catálogo.</t>
  </si>
  <si>
    <t xml:space="preserve"> </t>
  </si>
  <si>
    <t>📅  SEG - ENERO … DIC</t>
  </si>
  <si>
    <t>Registro detallado de cada venta: cliente, producto, pago y estado.</t>
  </si>
  <si>
    <t>📝 ÚSALA DIARIO. Anota cada venta en el mes que corresponde.</t>
  </si>
  <si>
    <t>📊  RESUMEN ANUAL</t>
  </si>
  <si>
    <t>Dashboard de todo el año: ventas, comisiones y gráficos mes a mes.</t>
  </si>
  <si>
    <t>👀 SOLO LECTURA. Se calcula solo con los datos que vayas ingresando.</t>
  </si>
  <si>
    <t>🧾  FACTURAS</t>
  </si>
  <si>
    <t>Control de facturas por catálogo: lo que debes pagar a cada empresa.</t>
  </si>
  <si>
    <t>💳 ÚSALA AL CERRAR CAMPAÑA. Registra cuánto debes pagar a cada catálogo.</t>
  </si>
  <si>
    <t>🎨  LEYENDA DE COLORES EN LAS TABLAS</t>
  </si>
  <si>
    <t>🔵  CELDA AZUL sobre fondo amarillo</t>
  </si>
  <si>
    <t>Aquí TÚ ingresas datos (precio, nombre, cantidad, etc.)</t>
  </si>
  <si>
    <t>⚫  CELDA AZUL sobre fondo azul claro</t>
  </si>
  <si>
    <t>Calculado automáticamente — NO lo edites</t>
  </si>
  <si>
    <t>🟢  CELDA VERDE</t>
  </si>
  <si>
    <t>Tu ganancia o dinero que entra</t>
  </si>
  <si>
    <t>🔴  CELDA ROJA</t>
  </si>
  <si>
    <t>Costo, gasto o dinero que sale</t>
  </si>
  <si>
    <t>🧮  CALCULADORA DE COSTO UNITARIO — ¿Cuánto me cuesta cada producto que vendo?</t>
  </si>
  <si>
    <t>Llena solo las celdas AMARILLAS 🟡 — las azules se calculan solas automáticamente ⚡</t>
  </si>
  <si>
    <t>📦  PASO 1 — Costos Variables (lo que compras por lote)</t>
  </si>
  <si>
    <t>🏢  PASO 2 — Costos Fijos (gastos del negocio cada mes)</t>
  </si>
  <si>
    <t>Material / Insumo</t>
  </si>
  <si>
    <t>Precio del lote (S/)</t>
  </si>
  <si>
    <t>Cantidad en el lote</t>
  </si>
  <si>
    <t>Costo por unidad (S/)</t>
  </si>
  <si>
    <t>Gasto Mensual</t>
  </si>
  <si>
    <t>Costo S/</t>
  </si>
  <si>
    <t>Costo por pedido (S/)</t>
  </si>
  <si>
    <t>Bolsas</t>
  </si>
  <si>
    <t>Luz</t>
  </si>
  <si>
    <t>Caja provincia</t>
  </si>
  <si>
    <t>Internet</t>
  </si>
  <si>
    <t>Cinta adhesiva</t>
  </si>
  <si>
    <t>Publicidad / redes</t>
  </si>
  <si>
    <t>Film stretch</t>
  </si>
  <si>
    <t>Celular (depreciación)</t>
  </si>
  <si>
    <t>Tarjetas agradecimiento</t>
  </si>
  <si>
    <t>Marketing</t>
  </si>
  <si>
    <t>Papel de seda</t>
  </si>
  <si>
    <t>Sueldo de gerente</t>
  </si>
  <si>
    <t>Sueldo logística</t>
  </si>
  <si>
    <t>Contador</t>
  </si>
  <si>
    <t>Tijera</t>
  </si>
  <si>
    <t>Lapicero</t>
  </si>
  <si>
    <t>📦 TOTAL costo variable por unidad</t>
  </si>
  <si>
    <t>🏢 TOTAL costo fijo por pedido</t>
  </si>
  <si>
    <t>📦  PASO 3 — ¿Cuántos pedidos haces al mes? (para repartir los gastos fijos entre cada venta)</t>
  </si>
  <si>
    <t>🔢  Número de pedidos al mes:</t>
  </si>
  <si>
    <t>← Escribe aquí cuántos pedidos vendes en un mes normal</t>
  </si>
  <si>
    <t>✅  RESULTADO — Tu Costo Unitario Total por producto</t>
  </si>
  <si>
    <t>🧮  COSTO UNITARIO = costo variable + (costo fijo ÷ pedidos al mes)</t>
  </si>
  <si>
    <t>💡  EJEMPLO EXPLICADO — ¿Cómo funciona este cálculo?</t>
  </si>
  <si>
    <t>Bolsas: compraste 1,000 por S/312</t>
  </si>
  <si>
    <t>→  cada bolsa te cuesta</t>
  </si>
  <si>
    <t>S/ 0.31</t>
  </si>
  <si>
    <t>Caja provincia: 100 por S/120</t>
  </si>
  <si>
    <t>→  cada caja te cuesta</t>
  </si>
  <si>
    <t>S/ 1.20</t>
  </si>
  <si>
    <t>Cinta: 50 por S/5</t>
  </si>
  <si>
    <t>→  cada rollo te cuesta</t>
  </si>
  <si>
    <t>S/ 0.10</t>
  </si>
  <si>
    <t>TOTAL costo variable por unidad:</t>
  </si>
  <si>
    <t>S/ 2.00</t>
  </si>
  <si>
    <t>Gastos fijos del mes: S/582</t>
  </si>
  <si>
    <t>÷ 300 pedidos al mes</t>
  </si>
  <si>
    <t>S/ 1.94 por pedido</t>
  </si>
  <si>
    <t>► COSTO UNITARIO TOTAL:</t>
  </si>
  <si>
    <t>S/ 2.00 + S/ 1.94</t>
  </si>
  <si>
    <t>🔗  CONEXIÓN AUTOMÁTICA — Este valor pasa directo a la hoja INVENTARIO EN STOCK</t>
  </si>
  <si>
    <t>✅  En la hoja INVENTARIO EN STOCK, la columna "📦 costo unitario" ya usa este resultado automáticamente.</t>
  </si>
  <si>
    <t>➡  Si cambias cualquier costo aquí, la ganancia y el precio de venta se actualizan solos en toda la planilla.</t>
  </si>
  <si>
    <t>⭐  TIPS PARA EMPRENDEDORAS</t>
  </si>
  <si>
    <t>🟡 Celdas AMARILLAS → Son las que TÚ llenas. Cambia los valores según tus gastos reales.</t>
  </si>
  <si>
    <t>🔵 Celdas AZULES / ROJAS → Se calculan solas. ¡No las toques!</t>
  </si>
  <si>
    <t>📦 Costos Variables = materiales que usas para cada pedido (bolsas, cajas, cinta, etc.)</t>
  </si>
  <si>
    <t>🏢 Costos Fijos = gastos del negocio que pagas siempre (luz, internet, sueldo, etc.) — se dividen entre todos tus pedidos.</t>
  </si>
  <si>
    <t>📊 Pedidos al mes = ¿cuántos paquetes/ventas haces en un mes? Pon un número promedio.</t>
  </si>
  <si>
    <t>💡 Actualiza esta hoja cuando cambien tus precios de insumos o tus gastos mensuales.</t>
  </si>
  <si>
    <t>💰  PRECIOS BASE — Tu Menú Permanente de Productos</t>
  </si>
  <si>
    <t>📌  Configura aquí tus productos UNA VEZ. NO la uses para registrar ventas — para eso usa 📊 CALCULADORA CAMPAÑA</t>
  </si>
  <si>
    <t>⚙️  COMISIÓN GLOBAL (se toma de INICIO):</t>
  </si>
  <si>
    <t>← Cámbialo en hoja INICIO</t>
  </si>
  <si>
    <t>🔵 Tú ingresas</t>
  </si>
  <si>
    <t>⚫ Calculado auto</t>
  </si>
  <si>
    <t>🟡 % comisión editable</t>
  </si>
  <si>
    <t>🟢 Ganancia real</t>
  </si>
  <si>
    <t>#</t>
  </si>
  <si>
    <t>CATÁLOGO</t>
  </si>
  <si>
    <t>PRODUCTO</t>
  </si>
  <si>
    <t>💰 COSTO
(lo que pagas)</t>
  </si>
  <si>
    <t>📦 Costo unitario
(desde hoja COSTO UNITARIO 🔗)</t>
  </si>
  <si>
    <t>📥 INVERSIÓN
(costo+empaque)</t>
  </si>
  <si>
    <t>📈 % MARGEN
utilidad (30%)</t>
  </si>
  <si>
    <t>🏷️ PRECIO VENTA
(calculado)</t>
  </si>
  <si>
    <t>💸 COSTO TOTAL</t>
  </si>
  <si>
    <t>💵 MARGEN S/
(ganancia bruta)</t>
  </si>
  <si>
    <t>🏆 COMISIÓN ventas %</t>
  </si>
  <si>
    <t>💎 COMISIÓN S/</t>
  </si>
  <si>
    <t>✅ GANANCIA NETA</t>
  </si>
  <si>
    <t>NATURA</t>
  </si>
  <si>
    <t>Crema tododia ciruela y flor de vainila</t>
  </si>
  <si>
    <t>CYZONE</t>
  </si>
  <si>
    <t>Mini Chic Colonia</t>
  </si>
  <si>
    <t>ESIKA</t>
  </si>
  <si>
    <t xml:space="preserve">Expression Magic </t>
  </si>
  <si>
    <t>Perfume Tododia Floral</t>
  </si>
  <si>
    <t>AVON</t>
  </si>
  <si>
    <t>Anew Gold Crema</t>
  </si>
  <si>
    <t>ORIFLAME</t>
  </si>
  <si>
    <t>FARMASI</t>
  </si>
  <si>
    <t>YANBAL</t>
  </si>
  <si>
    <t>LBEL</t>
  </si>
  <si>
    <t>📊  TOTALES</t>
  </si>
  <si>
    <t>🟡 ¿CÓMO SE CALCULA TU PRECIO DE VENTA?</t>
  </si>
  <si>
    <t>PASO 1 →</t>
  </si>
  <si>
    <t>💰 INVERSIÓN TOTAL = Precio costo del catálogo  +  Gastos fijos (empaque, bolsas, etc.)</t>
  </si>
  <si>
    <t>PASO 2 →</t>
  </si>
  <si>
    <t>📈 PRECIO CON GANANCIA = Inversión  ÷  (1 − 0.30)   ← divide entre 0.70 para que el 30% quede DENTRO del precio</t>
  </si>
  <si>
    <t>PASO 3 →</t>
  </si>
  <si>
    <t>🏷️ PRECIO FINAL DE VENTA = Precio con ganancia  ÷  (1 − 0.10)   ← divide entre 0.90 para que el 10% de comisión quede DENTRO</t>
  </si>
  <si>
    <t>✅ EJEMPLO PRÁCTICO (costo S/13 + empaque S/2):</t>
  </si>
  <si>
    <t xml:space="preserve">  Costo catálogo:</t>
  </si>
  <si>
    <t>S/ 13.00</t>
  </si>
  <si>
    <t xml:space="preserve">  + Gastos fijos:</t>
  </si>
  <si>
    <t xml:space="preserve">  = Inversión total:</t>
  </si>
  <si>
    <t>S/ 15.00</t>
  </si>
  <si>
    <t xml:space="preserve">  ÷ (1 − 0.30):</t>
  </si>
  <si>
    <t>S/ 15.00 ÷ 0.70 = S/ 21.43   ← ya incluye tu ganancia del 30%</t>
  </si>
  <si>
    <t xml:space="preserve">  ÷ (1 − 0.10):</t>
  </si>
  <si>
    <t>S/ 21.43 ÷ 0.90 = S/ 23.81   ← PRECIO FINAL AL PÚBLICO</t>
  </si>
  <si>
    <t>💵 TU GANANCIA NETA = S/ 21.43 − S/ 15.00 = S/ 6.43   (tu 30% sobre el precio)</t>
  </si>
  <si>
    <t>💎 COMISIÓN VENDEDORA = S/ 23.81 − S/ 21.43 = S/ 2.38   (su 10% sobre el precio)</t>
  </si>
  <si>
    <t>🔑 ¿QUÉ SIGNIFICA CADA COLUMNA?</t>
  </si>
  <si>
    <t xml:space="preserve">  📥 INVERSIÓN (col G):</t>
  </si>
  <si>
    <t>Lo que TÚ pagas: precio del catálogo + empaque. Este es tu costo real.</t>
  </si>
  <si>
    <t xml:space="preserve">  📈 % MARGEN (col H):</t>
  </si>
  <si>
    <t>Tu ganancia deseada. 30% significa que de cada S/100 que vendas, S/30 son tuyos.</t>
  </si>
  <si>
    <t xml:space="preserve">  🏷️ PRECIO VENTA (col I):</t>
  </si>
  <si>
    <t>Lo que le cobras al cliente. Ya incluye tu 30% de ganancia + 10% de comisión vendedora.</t>
  </si>
  <si>
    <t xml:space="preserve">  💵 MARGEN S/ (col K):</t>
  </si>
  <si>
    <t>Tu ganancia en soles: lo que ganas TÚ por cada producto (el 30% del precio).</t>
  </si>
  <si>
    <t xml:space="preserve">  💎 COMISIÓN S/ (col M):</t>
  </si>
  <si>
    <t>Lo que le pagas a tu vendedora por vender el producto (el 10% del precio).</t>
  </si>
  <si>
    <t xml:space="preserve">  ✅ GANANCIA NETA (col N):</t>
  </si>
  <si>
    <t>Tu MARGEN S/ — Es lo que REALMENTE te queda a ti después de pagar la comisión.</t>
  </si>
  <si>
    <t>📊  CALCULADORA DE CAMPAÑA — Registra lo que vendiste esta campaña</t>
  </si>
  <si>
    <t>✅  ÚSALA CADA CAMPAÑA (cada ~3 semanas). Diferencia con PRECIOS BASE: aquí registras ventas reales, allá defines precios permanentes.</t>
  </si>
  <si>
    <t>CAMPAÑA N°:</t>
  </si>
  <si>
    <t>MES:</t>
  </si>
  <si>
    <t>ENERO</t>
  </si>
  <si>
    <t>% COMISIÓN:</t>
  </si>
  <si>
    <t>← Edita en hoja INICIO · Aquí se actualiza solo</t>
  </si>
  <si>
    <t>MES</t>
  </si>
  <si>
    <t>💰 COSTO
Producto</t>
  </si>
  <si>
    <t>📦 COSTO UNITARIO</t>
  </si>
  <si>
    <t>📥 COSTO TOTAL</t>
  </si>
  <si>
    <t>📈 %
Ganancia</t>
  </si>
  <si>
    <t>🏷️ PRECIO
Venta</t>
  </si>
  <si>
    <t>💸 COSTO
Total</t>
  </si>
  <si>
    <t>💵 MARGEN
S/</t>
  </si>
  <si>
    <t>🏆 COM.
%</t>
  </si>
  <si>
    <t>💎 COM.
S/</t>
  </si>
  <si>
    <t>✅ GANANCIA
NETA</t>
  </si>
  <si>
    <t>JUNIO</t>
  </si>
  <si>
    <t>Crema Corporal Tododia</t>
  </si>
  <si>
    <t>Kit Perfume Dulce Vanidad</t>
  </si>
  <si>
    <t>Beijo Humor Colonia</t>
  </si>
  <si>
    <t>Set de Brochas 5 piezas</t>
  </si>
  <si>
    <t>Anew Gold Crema Facial</t>
  </si>
  <si>
    <t>Color Fix Barra Vino</t>
  </si>
  <si>
    <t>Giordani Gold Serum</t>
  </si>
  <si>
    <t>Argollas Spiga Perle</t>
  </si>
  <si>
    <t>Labial Matte Stay 24h</t>
  </si>
  <si>
    <t>Serum Effet Parfait</t>
  </si>
  <si>
    <t>Pink Crush Colonia</t>
  </si>
  <si>
    <t>Rimel Esika Pro</t>
  </si>
  <si>
    <t>📊  TOTALES DE ESTA CAMPAÑA</t>
  </si>
  <si>
    <t>📈  RESUMEN DE ESTA CAMPAÑA</t>
  </si>
  <si>
    <t>💰 VENTAS
TOTALES</t>
  </si>
  <si>
    <t>🏆 COMISIÓN
TOTAL</t>
  </si>
  <si>
    <t>💵 GANANCIA
NETA</t>
  </si>
  <si>
    <t>💸 INVERSIÓN
TOTAL</t>
  </si>
  <si>
    <t>📦 PRODUCTOS
VENDIDOS</t>
  </si>
  <si>
    <t>💵  ¿CUÁNTO ME PAGO? — Tu Sueldo Real y Rentabilidad del Negocio</t>
  </si>
  <si>
    <t>🎯  Revisa esta hoja al cerrar cada campaña. Aquí sabes si tu negocio te paga bien o solo estás trabajando gratis.</t>
  </si>
  <si>
    <t>📥  PASO 1: Ingresa los ingresos de tu campaña</t>
  </si>
  <si>
    <t>🚦  ¿Es rentable tu negocio este mes?</t>
  </si>
  <si>
    <t>💰 Total ventas cobradas (S/)</t>
  </si>
  <si>
    <t>← ingresa el total cobrado en la campaña</t>
  </si>
  <si>
    <t>🟢  Ganancia bruta &gt; S/ 300</t>
  </si>
  <si>
    <t>💸 Comisión a vendedoras (10%) — se descuenta en gastos ↓</t>
  </si>
  <si>
    <t>← referencia — el descuento real está en Paso 2</t>
  </si>
  <si>
    <t>🟡  Ganancia bruta entre S/ 100 y S/ 299</t>
  </si>
  <si>
    <t>➕ Otros ingresos (bonos, etc.)</t>
  </si>
  <si>
    <t>← ingresa el total real de la campaña</t>
  </si>
  <si>
    <t>🔴  Ganancia bruta &lt; S/ 100</t>
  </si>
  <si>
    <t>📊 TOTAL INGRESOS CAMPAÑA</t>
  </si>
  <si>
    <t>🎯  Meta de sueldo mensual</t>
  </si>
  <si>
    <t>📤  PASO 2: ¿Cuánto gastaste para vender?</t>
  </si>
  <si>
    <t>¿Cuánto quieres ganar este mes? (S/)</t>
  </si>
  <si>
    <t>← ingresa tu meta</t>
  </si>
  <si>
    <t>📦 Costo de productos (lo que le pagaste al catálogo)</t>
  </si>
  <si>
    <t>Ventas necesarias para llegar a tu meta:</t>
  </si>
  <si>
    <t>💸 Comisión pagada a vendedoras (10%)</t>
  </si>
  <si>
    <t>← lo que le pagas a tu vendedora por vender</t>
  </si>
  <si>
    <t>🚚 Delivery / envíos pagados</t>
  </si>
  <si>
    <t>¿Llegaste a tu meta este mes?</t>
  </si>
  <si>
    <t>📣 Publicidad (Redes, Impresiones)</t>
  </si>
  <si>
    <t>📱 Internet / celular (parte del negocio)</t>
  </si>
  <si>
    <t>🏗️  Mis costos fijos mensuales</t>
  </si>
  <si>
    <t>🛍️ Empaque y materiales</t>
  </si>
  <si>
    <t>💡 Luz / internet / celular</t>
  </si>
  <si>
    <t>📋 Otros gastos del negocio</t>
  </si>
  <si>
    <t>📣 Publicidad mensual</t>
  </si>
  <si>
    <t>📊 TOTAL GASTOS CAMPAÑA</t>
  </si>
  <si>
    <t>🛍️ Empaque promedio mensual</t>
  </si>
  <si>
    <t>📋 Otros costos fijos</t>
  </si>
  <si>
    <t>🧮  PASO 3: ¿Cómo distribuir lo que te queda?</t>
  </si>
  <si>
    <t>💸 TOTAL COSTOS FIJOS / MES:</t>
  </si>
  <si>
    <t>💵 Ganancia bruta (ventas − costos − comisión vendedora):</t>
  </si>
  <si>
    <t>⚡ Costo fijo por producto (aprox):</t>
  </si>
  <si>
    <t>💡 Esta es tu ganancia REAL como dueña, ya descontando el pago a vendedoras.</t>
  </si>
  <si>
    <t>🔁 Para reinvertir en próxima campaña (30%)</t>
  </si>
  <si>
    <t>🛡️ Para fondo de emergencia / ahorro (20%)</t>
  </si>
  <si>
    <t>💵 TU SUELDO como dueña — lo que te llevas (50%)</t>
  </si>
  <si>
    <t>💡  Nota: Los % son una guía de referencia. Puedes ajustarlos según tu situación.</t>
  </si>
  <si>
    <t>🗂️  MONITOREO DE CATÁLOGOS — RESULTADO POR CAMPAÑA</t>
  </si>
  <si>
    <t>I</t>
  </si>
  <si>
    <t>ingresa por cada catálogo: tu factura del mes, total de ventas, campaña. El sistema calcula ganancia real, comisión y reinversión.</t>
  </si>
  <si>
    <t>% COMISIÓN (editable en INICIO):</t>
  </si>
  <si>
    <t>🔵 Ingresa tú</t>
  </si>
  <si>
    <t>🟡 % comisión</t>
  </si>
  <si>
    <t>🟢 Ganancia</t>
  </si>
  <si>
    <t>📌  YANBAL</t>
  </si>
  <si>
    <t>📌  ESIKA</t>
  </si>
  <si>
    <t>CAMPAÑA
N°</t>
  </si>
  <si>
    <t>💰 MI FACTURA
(lo que debo pagar)</t>
  </si>
  <si>
    <t>📦 MIS VENTAS
TOTALES (S/)</t>
  </si>
  <si>
    <t>💵 GANANCIA
BRUTA (S/)</t>
  </si>
  <si>
    <t>🏆 COMISIÓN
SEGÚN %</t>
  </si>
  <si>
    <t>♻️ PARA
REINVERTIR</t>
  </si>
  <si>
    <t>✅ GANANCIA
NETA REAL</t>
  </si>
  <si>
    <t>FEBRERO</t>
  </si>
  <si>
    <t>MARZO</t>
  </si>
  <si>
    <t>ABRIL</t>
  </si>
  <si>
    <t>MAYO</t>
  </si>
  <si>
    <t>TOTAL</t>
  </si>
  <si>
    <t>💡 Ganancia bruta = Ventas − Factura  |  Comisión = Ventas × %  |  Reinversión = 50% de Factura  |  Ganancia neta = Bruta − Comisión</t>
  </si>
  <si>
    <t>📌  CYZONE</t>
  </si>
  <si>
    <t>📌  LBEL</t>
  </si>
  <si>
    <t>📌  NATURA</t>
  </si>
  <si>
    <t>📌  AVON</t>
  </si>
  <si>
    <t>📌  FARMASI</t>
  </si>
  <si>
    <t>📌  ORIFLAME</t>
  </si>
  <si>
    <t>📊  DASHBOARD: ¿QUÉ CATÁLOGO VENDES MÁS?</t>
  </si>
  <si>
    <t>VENTAS
TOTALES S/</t>
  </si>
  <si>
    <t>FACTURAS
TOTALES S/</t>
  </si>
  <si>
    <t>GANANCIA
BRUTA S/</t>
  </si>
  <si>
    <t>COMISIÓN S/</t>
  </si>
  <si>
    <t>GANANCIA
NETA S/</t>
  </si>
  <si>
    <t>Yanbal</t>
  </si>
  <si>
    <t>Esika</t>
  </si>
  <si>
    <t>Cyzone</t>
  </si>
  <si>
    <t>LBel</t>
  </si>
  <si>
    <t>Natura</t>
  </si>
  <si>
    <t>Avon</t>
  </si>
  <si>
    <t>Farmasi</t>
  </si>
  <si>
    <t>Oriflame</t>
  </si>
  <si>
    <t>✅  SEGUIMIENTO DE VENTAS — ENERO</t>
  </si>
  <si>
    <t>Registra tus ventas del mes. Usa los desplegables para catálogo, método de pago y estado.</t>
  </si>
  <si>
    <t>🔍 Filtros (▼): Campaña · Catálogo · Método de pago · Estado  |  🟢 PAGADO  🔴 FALTA CANCELAR  🟡 ADELANTO</t>
  </si>
  <si>
    <t>CLIENTE</t>
  </si>
  <si>
    <t>PRECIO (S/)</t>
  </si>
  <si>
    <t>MÉTODO PAGO</t>
  </si>
  <si>
    <t>ESTADO PAGO</t>
  </si>
  <si>
    <t>ADELANTO
S/</t>
  </si>
  <si>
    <t>NOTAS</t>
  </si>
  <si>
    <t>COMISIÓN (S/)</t>
  </si>
  <si>
    <t>PAOLA</t>
  </si>
  <si>
    <t>OHM NOW</t>
  </si>
  <si>
    <t>EFECTIVO</t>
  </si>
  <si>
    <t>PAGADO</t>
  </si>
  <si>
    <t>📊  RESUMEN — ENERO</t>
  </si>
  <si>
    <t>PAGADOS</t>
  </si>
  <si>
    <t>FALTA PAGAR</t>
  </si>
  <si>
    <t>ADELANTOS</t>
  </si>
  <si>
    <t>COMISIÓN MES</t>
  </si>
  <si>
    <t>✅  SEGUIMIENTO DE VENTAS — FEBRERO</t>
  </si>
  <si>
    <t>📊  RESUMEN — FEBRERO</t>
  </si>
  <si>
    <t>✅  SEGUIMIENTO DE VENTAS — MARZO</t>
  </si>
  <si>
    <t>📊  RESUMEN — MARZO</t>
  </si>
  <si>
    <t>✅  SEGUIMIENTO DE VENTAS — ABRIL</t>
  </si>
  <si>
    <t>📊  RESUMEN — ABRIL</t>
  </si>
  <si>
    <t>✅  SEGUIMIENTO DE VENTAS — MAYO</t>
  </si>
  <si>
    <t>📊  RESUMEN — MAYO</t>
  </si>
  <si>
    <t>✅  SEGUIMIENTO DE VENTAS — JUNIO</t>
  </si>
  <si>
    <t>📊  RESUMEN — JUNIO</t>
  </si>
  <si>
    <t>✅  SEGUIMIENTO DE VENTAS — JULIO</t>
  </si>
  <si>
    <t>📊  RESUMEN — JULIO</t>
  </si>
  <si>
    <t>✅  SEGUIMIENTO DE VENTAS — AGOSTO</t>
  </si>
  <si>
    <t>📊  RESUMEN — AGOSTO</t>
  </si>
  <si>
    <t>✅  SEGUIMIENTO DE VENTAS — SEPTIEMBRE</t>
  </si>
  <si>
    <t>📊  RESUMEN — SEPTIEMBRE</t>
  </si>
  <si>
    <t>✅  SEGUIMIENTO DE VENTAS — OCTUBRE</t>
  </si>
  <si>
    <t>📊  RESUMEN — OCTUBRE</t>
  </si>
  <si>
    <t>✅  SEGUIMIENTO DE VENTAS — NOVIEMBRE</t>
  </si>
  <si>
    <t>📊  RESUMEN — NOVIEMBRE</t>
  </si>
  <si>
    <t>✅  SEGUIMIENTO DE VENTAS — DICIEMBRE</t>
  </si>
  <si>
    <t>📊  RESUMEN — DICIEMBRE</t>
  </si>
  <si>
    <t>VENTAS PAGADAS (S/)</t>
  </si>
  <si>
    <t>N° PAGADOS</t>
  </si>
  <si>
    <t>FALTA CANCELAR</t>
  </si>
  <si>
    <t>JULIO</t>
  </si>
  <si>
    <t>AGOSTO</t>
  </si>
  <si>
    <t>SEPTIEMBRE</t>
  </si>
  <si>
    <t>OCTUBRE</t>
  </si>
  <si>
    <t>NOVIEMBRE</t>
  </si>
  <si>
    <t>DICIEMBRE</t>
  </si>
  <si>
    <t>TOTAL AÑO</t>
  </si>
  <si>
    <t>Siempre se recomienda llegar o traspasar tu meta</t>
  </si>
  <si>
    <t>ADELANTO</t>
  </si>
  <si>
    <t>📊  DASHBOARD ANUAL — AMYSA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</si>
</sst>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/&quot;#,##0.00"/>
    <numFmt numFmtId="165" formatCode="&quot;S/&quot;#,##0.000"/>
    <numFmt numFmtId="166" formatCode="#,##0.000"/>
    <numFmt numFmtId="167" formatCode="#,##0.00&quot; €&quot;"/>
    <numFmt numFmtId="168" formatCode="_-[$S/-280A]\ * #,##0.00_-;\-[$S/-280A]\ * #,##0.00_-;_-[$S/-280A]\ * \-??_-;_-@_-"/>
  </numFmts>
  <fonts count="10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CE93D8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1A1A2E"/>
      <name val="Arial"/>
      <family val="2"/>
      <charset val="1"/>
    </font>
    <font>
      <b/>
      <sz val="12"/>
      <color rgb="FF0000FF"/>
      <name val="Arial"/>
      <family val="2"/>
      <charset val="1"/>
    </font>
    <font>
      <i/>
      <sz val="9"/>
      <color rgb="FF757575"/>
      <name val="Arial"/>
      <family val="2"/>
      <charset val="1"/>
    </font>
    <font>
      <b/>
      <sz val="11"/>
      <color rgb="FF5B2D8E"/>
      <name val="Arial"/>
      <family val="2"/>
      <charset val="1"/>
    </font>
    <font>
      <sz val="10"/>
      <color rgb="FF212121"/>
      <name val="Arial"/>
      <family val="2"/>
      <charset val="1"/>
    </font>
    <font>
      <i/>
      <sz val="9"/>
      <color rgb="FF5C5C5C"/>
      <name val="Arial"/>
      <family val="2"/>
      <charset val="1"/>
    </font>
    <font>
      <b/>
      <sz val="11"/>
      <color rgb="FFE91E8C"/>
      <name val="Arial"/>
      <family val="2"/>
      <charset val="1"/>
    </font>
    <font>
      <b/>
      <sz val="11"/>
      <color rgb="FF27AE60"/>
      <name val="Arial"/>
      <family val="2"/>
      <charset val="1"/>
    </font>
    <font>
      <b/>
      <sz val="11"/>
      <color rgb="FFF57F17"/>
      <name val="Arial"/>
      <family val="2"/>
      <charset val="1"/>
    </font>
    <font>
      <b/>
      <sz val="11"/>
      <color rgb="FF455A6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0000FF"/>
      <name val="Arial"/>
      <family val="2"/>
      <charset val="1"/>
    </font>
    <font>
      <i/>
      <sz val="9"/>
      <color rgb="FF424242"/>
      <name val="Arial"/>
      <family val="2"/>
      <charset val="1"/>
    </font>
    <font>
      <b/>
      <sz val="11"/>
      <color rgb="FF1565C0"/>
      <name val="Arial"/>
      <family val="2"/>
      <charset val="1"/>
    </font>
    <font>
      <b/>
      <sz val="11"/>
      <color rgb="FFE74C3C"/>
      <name val="Arial"/>
      <family val="2"/>
      <charset val="1"/>
    </font>
    <font>
      <sz val="11"/>
      <name val="Calibri"/>
      <family val="2"/>
      <charset val="1"/>
    </font>
    <font>
      <b/>
      <sz val="13"/>
      <color rgb="FFFFFFFF"/>
      <name val="Arial"/>
      <family val="2"/>
      <charset val="1"/>
    </font>
    <font>
      <sz val="10"/>
      <color rgb="FF4527A0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1565C0"/>
      <name val="Arial"/>
      <family val="2"/>
      <charset val="1"/>
    </font>
    <font>
      <b/>
      <sz val="10"/>
      <color rgb="FF1B5E2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1B5E2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3"/>
      <color rgb="FF6A1B9A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0"/>
      <color rgb="FFBF360C"/>
      <name val="Arial"/>
      <family val="2"/>
      <charset val="1"/>
    </font>
    <font>
      <sz val="8"/>
      <color rgb="FF004D40"/>
      <name val="Arial"/>
      <family val="2"/>
      <charset val="1"/>
    </font>
    <font>
      <sz val="10"/>
      <color rgb="FF004D40"/>
      <name val="Arial"/>
      <family val="2"/>
      <charset val="1"/>
    </font>
    <font>
      <sz val="8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i/>
      <sz val="10"/>
      <color rgb="FFF8BBD0"/>
      <name val="Arial"/>
      <family val="2"/>
      <charset val="1"/>
    </font>
    <font>
      <b/>
      <sz val="8"/>
      <color rgb="FF1A1A2E"/>
      <name val="Arial"/>
      <family val="2"/>
      <charset val="1"/>
    </font>
    <font>
      <b/>
      <sz val="12"/>
      <color rgb="FF27AE60"/>
      <name val="Arial"/>
      <family val="2"/>
      <charset val="1"/>
    </font>
    <font>
      <b/>
      <sz val="9"/>
      <color rgb="FF0000FF"/>
      <name val="Arial"/>
      <family val="2"/>
      <charset val="1"/>
    </font>
    <font>
      <b/>
      <sz val="9"/>
      <color rgb="FF1565C0"/>
      <name val="Arial"/>
      <family val="2"/>
      <charset val="1"/>
    </font>
    <font>
      <b/>
      <sz val="9"/>
      <color rgb="FFE65100"/>
      <name val="Arial"/>
      <family val="2"/>
      <charset val="1"/>
    </font>
    <font>
      <b/>
      <sz val="9"/>
      <color rgb="FF27AE60"/>
      <name val="Arial"/>
      <family val="2"/>
      <charset val="1"/>
    </font>
    <font>
      <sz val="11"/>
      <color rgb="FF1A1A2E"/>
      <name val="Arial"/>
      <family val="2"/>
      <charset val="1"/>
    </font>
    <font>
      <sz val="11"/>
      <color rgb="FF1565C0"/>
      <name val="Arial"/>
      <family val="2"/>
      <charset val="1"/>
    </font>
    <font>
      <b/>
      <sz val="11"/>
      <color rgb="FFE65100"/>
      <name val="Arial"/>
      <family val="2"/>
      <charset val="1"/>
    </font>
    <font>
      <b/>
      <sz val="11"/>
      <color rgb="FF006064"/>
      <name val="Arial"/>
      <family val="2"/>
      <charset val="1"/>
    </font>
    <font>
      <sz val="11"/>
      <color rgb="FFE74C3C"/>
      <name val="Arial"/>
      <family val="2"/>
      <charset val="1"/>
    </font>
    <font>
      <sz val="11"/>
      <color rgb="FFE65100"/>
      <name val="Arial"/>
      <family val="2"/>
      <charset val="1"/>
    </font>
    <font>
      <b/>
      <sz val="12"/>
      <color rgb="FFFFFFFF"/>
      <name val="Cambria"/>
      <family val="1"/>
      <charset val="1"/>
    </font>
    <font>
      <sz val="11"/>
      <name val="Cambria"/>
      <family val="1"/>
      <charset val="1"/>
    </font>
    <font>
      <b/>
      <sz val="10"/>
      <color rgb="FFFFFFFF"/>
      <name val="Cambria"/>
      <family val="1"/>
      <charset val="1"/>
    </font>
    <font>
      <sz val="10"/>
      <color rgb="FF1F4E79"/>
      <name val="Cambria"/>
      <family val="1"/>
      <charset val="1"/>
    </font>
    <font>
      <b/>
      <sz val="10"/>
      <color rgb="FF375623"/>
      <name val="Cambria"/>
      <family val="1"/>
      <charset val="1"/>
    </font>
    <font>
      <i/>
      <sz val="10"/>
      <color rgb="FF595959"/>
      <name val="Cambria"/>
      <family val="1"/>
      <charset val="1"/>
    </font>
    <font>
      <sz val="10"/>
      <color rgb="FF595959"/>
      <name val="Cambria"/>
      <family val="1"/>
      <charset val="1"/>
    </font>
    <font>
      <b/>
      <sz val="10"/>
      <color rgb="FF7030A0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0"/>
      <color rgb="FF1F4E79"/>
      <name val="Cambria"/>
      <family val="1"/>
      <charset val="1"/>
    </font>
    <font>
      <i/>
      <sz val="10"/>
      <color rgb="FFFCE4EC"/>
      <name val="Arial"/>
      <family val="2"/>
      <charset val="1"/>
    </font>
    <font>
      <sz val="11"/>
      <color rgb="FF0000FF"/>
      <name val="Arial"/>
      <family val="2"/>
      <charset val="1"/>
    </font>
    <font>
      <i/>
      <sz val="10"/>
      <color rgb="FFA5D6A7"/>
      <name val="Arial"/>
      <family val="2"/>
      <charset val="1"/>
    </font>
    <font>
      <i/>
      <sz val="9"/>
      <color rgb="FF9E9E9E"/>
      <name val="Arial"/>
      <family val="2"/>
      <charset val="1"/>
    </font>
    <font>
      <b/>
      <sz val="11"/>
      <color rgb="FF212121"/>
      <name val="Arial"/>
      <family val="2"/>
      <charset val="1"/>
    </font>
    <font>
      <sz val="10"/>
      <color rgb="FF27AE60"/>
      <name val="Arial"/>
      <family val="2"/>
      <charset val="1"/>
    </font>
    <font>
      <i/>
      <sz val="11"/>
      <color rgb="FFD32F2F"/>
      <name val="Cambria"/>
      <family val="1"/>
      <charset val="1"/>
    </font>
    <font>
      <i/>
      <sz val="9"/>
      <color rgb="FF9E9E9E"/>
      <name val="Cambria"/>
      <family val="1"/>
      <charset val="1"/>
    </font>
    <font>
      <sz val="10"/>
      <color rgb="FFE65100"/>
      <name val="Arial"/>
      <family val="2"/>
      <charset val="1"/>
    </font>
    <font>
      <sz val="10"/>
      <color rgb="FFE74C3C"/>
      <name val="Arial"/>
      <family val="2"/>
      <charset val="1"/>
    </font>
    <font>
      <b/>
      <sz val="13"/>
      <color rgb="FF0000FF"/>
      <name val="Arial"/>
      <family val="2"/>
      <charset val="1"/>
    </font>
    <font>
      <sz val="11"/>
      <color rgb="FF212121"/>
      <name val="Arial"/>
      <family val="2"/>
      <charset val="1"/>
    </font>
    <font>
      <b/>
      <sz val="12"/>
      <color rgb="FF5B2D8E"/>
      <name val="Arial"/>
      <family val="2"/>
      <charset val="1"/>
    </font>
    <font>
      <sz val="11"/>
      <color rgb="FF1A1A2E"/>
      <name val="Cambria"/>
      <family val="1"/>
      <charset val="1"/>
    </font>
    <font>
      <i/>
      <sz val="9"/>
      <color rgb="FF616161"/>
      <name val="Cambria"/>
      <family val="1"/>
      <charset val="1"/>
    </font>
    <font>
      <b/>
      <sz val="13"/>
      <color rgb="FF27AE60"/>
      <name val="Arial"/>
      <family val="2"/>
      <charset val="1"/>
    </font>
    <font>
      <i/>
      <sz val="9"/>
      <color rgb="FF388E3C"/>
      <name val="Cambria"/>
      <family val="1"/>
      <charset val="1"/>
    </font>
    <font>
      <b/>
      <sz val="14"/>
      <color rgb="FFE74C3C"/>
      <name val="Arial"/>
      <family val="2"/>
      <charset val="1"/>
    </font>
    <font>
      <b/>
      <sz val="11"/>
      <color rgb="FF1B5E20"/>
      <name val="Cambria"/>
      <family val="1"/>
      <charset val="1"/>
    </font>
    <font>
      <i/>
      <sz val="8"/>
      <color rgb="FF666666"/>
      <name val="Arial"/>
      <family val="2"/>
      <charset val="1"/>
    </font>
    <font>
      <b/>
      <sz val="10"/>
      <color rgb="FF4B2D8F"/>
      <name val="Arial"/>
      <family val="2"/>
      <charset val="1"/>
    </font>
    <font>
      <b/>
      <sz val="13"/>
      <color rgb="FFC8A400"/>
      <name val="Arial"/>
      <family val="2"/>
      <charset val="1"/>
    </font>
    <font>
      <i/>
      <sz val="8"/>
      <color rgb="FF888888"/>
      <name val="Arial"/>
      <family val="2"/>
      <charset val="1"/>
    </font>
    <font>
      <sz val="8"/>
      <color rgb="FF0000AA"/>
      <name val="Arial"/>
      <family val="2"/>
      <charset val="1"/>
    </font>
    <font>
      <sz val="8"/>
      <color rgb="FF333333"/>
      <name val="Arial"/>
      <family val="2"/>
      <charset val="1"/>
    </font>
    <font>
      <sz val="8"/>
      <color rgb="FF7B5E00"/>
      <name val="Arial"/>
      <family val="2"/>
      <charset val="1"/>
    </font>
    <font>
      <sz val="8"/>
      <color rgb="FF276221"/>
      <name val="Arial"/>
      <family val="2"/>
      <charset val="1"/>
    </font>
    <font>
      <sz val="12"/>
      <color theme="1"/>
      <name val="Aptos Narrow"/>
      <family val="2"/>
      <charset val="1"/>
    </font>
    <font>
      <b/>
      <sz val="8"/>
      <color rgb="FFFFFFFF"/>
      <name val="Arial"/>
      <family val="2"/>
      <charset val="1"/>
    </font>
    <font>
      <sz val="8"/>
      <color rgb="FF888888"/>
      <name val="Arial"/>
      <family val="2"/>
      <charset val="1"/>
    </font>
    <font>
      <sz val="9"/>
      <color rgb="FF1565C0"/>
      <name val="Arial"/>
      <family val="2"/>
      <charset val="1"/>
    </font>
    <font>
      <sz val="9"/>
      <color rgb="FF1A7A5E"/>
      <name val="Arial"/>
      <family val="2"/>
      <charset val="1"/>
    </font>
    <font>
      <b/>
      <sz val="9"/>
      <color rgb="FF7B5E00"/>
      <name val="Arial"/>
      <family val="2"/>
      <charset val="1"/>
    </font>
    <font>
      <b/>
      <sz val="9"/>
      <color rgb="FF276221"/>
      <name val="Arial"/>
      <family val="2"/>
      <charset val="1"/>
    </font>
    <font>
      <i/>
      <sz val="7"/>
      <color rgb="FF555555"/>
      <name val="Arial"/>
      <family val="2"/>
      <charset val="1"/>
    </font>
    <font>
      <b/>
      <sz val="9"/>
      <color rgb="FF4B2D8F"/>
      <name val="Arial"/>
      <family val="2"/>
      <charset val="1"/>
    </font>
    <font>
      <sz val="9"/>
      <color rgb="FFC0392B"/>
      <name val="Arial"/>
      <family val="2"/>
      <charset val="1"/>
    </font>
    <font>
      <sz val="9"/>
      <color rgb="FF7B5E00"/>
      <name val="Arial"/>
      <family val="2"/>
      <charset val="1"/>
    </font>
    <font>
      <b/>
      <sz val="9"/>
      <color rgb="FF0D3B6E"/>
      <name val="Arial"/>
      <family val="2"/>
      <charset val="1"/>
    </font>
    <font>
      <sz val="8"/>
      <color rgb="FF999999"/>
      <name val="Arial"/>
      <family val="2"/>
      <charset val="1"/>
    </font>
    <font>
      <sz val="9"/>
      <color rgb="FF1A1A2E"/>
      <name val="Arial"/>
      <family val="2"/>
      <charset val="1"/>
    </font>
    <font>
      <sz val="9"/>
      <color rgb="FF7D3C00"/>
      <name val="Arial"/>
      <family val="2"/>
      <charset val="1"/>
    </font>
    <font>
      <b/>
      <sz val="9"/>
      <color rgb="FF1A7A5E"/>
      <name val="Arial"/>
      <family val="2"/>
      <charset val="1"/>
    </font>
    <font>
      <b/>
      <sz val="9"/>
      <color rgb="FF9C0006"/>
      <name val="Arial"/>
      <family val="2"/>
      <charset val="1"/>
    </font>
    <font>
      <b/>
      <sz val="12"/>
      <color rgb="FF4B2D8F"/>
      <name val="Arial"/>
      <family val="2"/>
      <charset val="1"/>
    </font>
    <font>
      <b/>
      <sz val="12"/>
      <color rgb="FF1A7A5E"/>
      <name val="Arial"/>
      <family val="2"/>
      <charset val="1"/>
    </font>
    <font>
      <b/>
      <sz val="12"/>
      <color rgb="FF9C0006"/>
      <name val="Arial"/>
      <family val="2"/>
      <charset val="1"/>
    </font>
    <font>
      <b/>
      <sz val="12"/>
      <color rgb="FFB8860B"/>
      <name val="Arial"/>
      <family val="2"/>
      <charset val="1"/>
    </font>
  </fonts>
  <fills count="71">
    <fill>
      <patternFill patternType="none"/>
    </fill>
    <fill>
      <patternFill patternType="gray125"/>
    </fill>
    <fill>
      <patternFill patternType="solid">
        <fgColor rgb="FF622697"/>
        <bgColor rgb="FF4D2990"/>
      </patternFill>
    </fill>
    <fill>
      <patternFill patternType="solid">
        <fgColor rgb="FF2D1B5E"/>
        <bgColor rgb="FF1A237E"/>
      </patternFill>
    </fill>
    <fill>
      <patternFill patternType="solid">
        <fgColor rgb="FFE91E8C"/>
        <bgColor rgb="FFC92C23"/>
      </patternFill>
    </fill>
    <fill>
      <patternFill patternType="solid">
        <fgColor rgb="FFEDE7F6"/>
        <bgColor rgb="FFF3EEFF"/>
      </patternFill>
    </fill>
    <fill>
      <patternFill patternType="solid">
        <fgColor rgb="FFFFF9C4"/>
        <bgColor rgb="FFFFF3CD"/>
      </patternFill>
    </fill>
    <fill>
      <patternFill patternType="solid">
        <fgColor rgb="FF1A1A26"/>
        <bgColor rgb="FF2D1B5E"/>
      </patternFill>
    </fill>
    <fill>
      <patternFill patternType="solid">
        <fgColor rgb="FFFFFFFF"/>
        <bgColor rgb="FFF6FBF6"/>
      </patternFill>
    </fill>
    <fill>
      <patternFill patternType="solid">
        <fgColor rgb="FFFFE8ED"/>
        <bgColor rgb="FFFFEBEE"/>
      </patternFill>
    </fill>
    <fill>
      <patternFill patternType="solid">
        <fgColor rgb="FFE8F5E9"/>
        <bgColor rgb="FFECF5EF"/>
      </patternFill>
    </fill>
    <fill>
      <patternFill patternType="solid">
        <fgColor rgb="FFFFFDE7"/>
        <bgColor rgb="FFFFFCEA"/>
      </patternFill>
    </fill>
    <fill>
      <patternFill patternType="solid">
        <fgColor rgb="FFF6FBF6"/>
        <bgColor rgb="FFF6FFED"/>
      </patternFill>
    </fill>
    <fill>
      <patternFill patternType="solid">
        <fgColor rgb="FF363738"/>
        <bgColor rgb="FF2D1B5E"/>
      </patternFill>
    </fill>
    <fill>
      <patternFill patternType="solid">
        <fgColor rgb="FFE3F2FD"/>
        <bgColor rgb="FFE8F4FD"/>
      </patternFill>
    </fill>
    <fill>
      <patternFill patternType="solid">
        <fgColor rgb="FFFFEBEE"/>
        <bgColor rgb="FFFFE8ED"/>
      </patternFill>
    </fill>
    <fill>
      <patternFill patternType="solid">
        <fgColor rgb="FF4D2990"/>
        <bgColor rgb="FF622697"/>
      </patternFill>
    </fill>
    <fill>
      <patternFill patternType="solid">
        <fgColor rgb="FF1565C0"/>
        <bgColor rgb="FF1668C2"/>
      </patternFill>
    </fill>
    <fill>
      <patternFill patternType="mediumGray">
        <fgColor rgb="FF1B7A53"/>
        <bgColor rgb="FF389519"/>
      </patternFill>
    </fill>
    <fill>
      <patternFill patternType="solid">
        <fgColor rgb="FF1668C2"/>
        <bgColor rgb="FF1565C0"/>
      </patternFill>
    </fill>
    <fill>
      <patternFill patternType="darkGray">
        <fgColor rgb="FF389519"/>
        <bgColor rgb="FF1B7A53"/>
      </patternFill>
    </fill>
    <fill>
      <patternFill patternType="darkGray">
        <fgColor rgb="FFB0D9F6"/>
        <bgColor rgb="FFD6EEFC"/>
      </patternFill>
    </fill>
    <fill>
      <patternFill patternType="darkGray">
        <fgColor rgb="FFD3F4E1"/>
        <bgColor rgb="FFE2EFDA"/>
      </patternFill>
    </fill>
    <fill>
      <patternFill patternType="solid">
        <fgColor rgb="FF622697"/>
        <bgColor rgb="FF4D2990"/>
      </patternFill>
    </fill>
    <fill>
      <patternFill patternType="solid">
        <fgColor rgb="FFC92C23"/>
        <bgColor rgb="FFD4380D"/>
      </patternFill>
    </fill>
    <fill>
      <patternFill patternType="darkGray">
        <fgColor rgb="FFEF6301"/>
        <bgColor rgb="FFE74C3C"/>
      </patternFill>
    </fill>
    <fill>
      <patternFill patternType="solid">
        <fgColor rgb="FFFFF3E0"/>
        <bgColor rgb="FFFFF2E8"/>
      </patternFill>
    </fill>
    <fill>
      <patternFill patternType="darkGray">
        <fgColor rgb="FFFFD8BE"/>
        <bgColor rgb="FFFFF3CD"/>
      </patternFill>
    </fill>
    <fill>
      <patternFill patternType="solid">
        <fgColor rgb="FFFFD8BE"/>
        <bgColor rgb="FFFFE8ED"/>
      </patternFill>
    </fill>
    <fill>
      <patternFill patternType="darkGray">
        <fgColor rgb="FF045E65"/>
        <bgColor rgb="FF1B7A53"/>
      </patternFill>
    </fill>
    <fill>
      <patternFill patternType="mediumGray">
        <fgColor rgb="FFE3F2FD"/>
        <bgColor rgb="FFE0F7FA"/>
      </patternFill>
    </fill>
    <fill>
      <patternFill patternType="darkGray">
        <fgColor rgb="FFEF6301"/>
        <bgColor rgb="FFBD9000"/>
      </patternFill>
    </fill>
    <fill>
      <patternFill patternType="solid">
        <fgColor rgb="FF4D2990"/>
        <bgColor rgb="FF622697"/>
      </patternFill>
    </fill>
    <fill>
      <patternFill patternType="darkGray">
        <fgColor rgb="FF8D0417"/>
        <bgColor rgb="FF622697"/>
      </patternFill>
    </fill>
    <fill>
      <patternFill patternType="solid">
        <fgColor rgb="FF1A237E"/>
        <bgColor rgb="FF2D1B5E"/>
      </patternFill>
    </fill>
    <fill>
      <patternFill patternType="darkGray">
        <fgColor rgb="FF045E65"/>
        <bgColor rgb="FF05506E"/>
      </patternFill>
    </fill>
    <fill>
      <patternFill patternType="solid">
        <fgColor rgb="FF1C5F20"/>
        <bgColor rgb="FF045E65"/>
      </patternFill>
    </fill>
    <fill>
      <patternFill patternType="solid">
        <fgColor rgb="FFE0F7FA"/>
        <bgColor rgb="FFE3F2FD"/>
      </patternFill>
    </fill>
    <fill>
      <patternFill patternType="solid">
        <fgColor rgb="FF05506E"/>
        <bgColor rgb="FF045E65"/>
      </patternFill>
    </fill>
    <fill>
      <patternFill patternType="darkGray">
        <fgColor rgb="FF1668C2"/>
        <bgColor rgb="FF1565C0"/>
      </patternFill>
    </fill>
    <fill>
      <patternFill patternType="darkGray">
        <fgColor rgb="FFD6EEFC"/>
        <bgColor rgb="FFE3F2FD"/>
      </patternFill>
    </fill>
    <fill>
      <patternFill patternType="solid">
        <fgColor rgb="FFE2EFDA"/>
        <bgColor rgb="FFE8F5E9"/>
      </patternFill>
    </fill>
    <fill>
      <patternFill patternType="solid">
        <fgColor rgb="FFFFF3CD"/>
        <bgColor rgb="FFFFF9C4"/>
      </patternFill>
    </fill>
    <fill>
      <patternFill patternType="solid">
        <fgColor rgb="FFD3F4E1"/>
        <bgColor rgb="FFE2EFDA"/>
      </patternFill>
    </fill>
    <fill>
      <patternFill patternType="mediumGray">
        <fgColor rgb="FFF3EEFF"/>
        <bgColor rgb="FFEBF3FF"/>
      </patternFill>
    </fill>
    <fill>
      <patternFill patternType="solid">
        <fgColor rgb="FF27AE60"/>
        <bgColor rgb="FF389519"/>
      </patternFill>
    </fill>
    <fill>
      <patternFill patternType="solid">
        <fgColor rgb="FFE74C3C"/>
        <bgColor rgb="FFD4380D"/>
      </patternFill>
    </fill>
    <fill>
      <patternFill patternType="solid">
        <fgColor rgb="FFEBF3FF"/>
        <bgColor rgb="FFE8F4FD"/>
      </patternFill>
    </fill>
    <fill>
      <patternFill patternType="solid">
        <fgColor rgb="FFECF5EF"/>
        <bgColor rgb="FFE8F5E9"/>
      </patternFill>
    </fill>
    <fill>
      <patternFill patternType="solid">
        <fgColor rgb="FFD4380D"/>
        <bgColor rgb="FFC92C23"/>
      </patternFill>
    </fill>
    <fill>
      <patternFill patternType="darkGray">
        <fgColor rgb="FFC92C23"/>
        <bgColor rgb="FFD4380D"/>
      </patternFill>
    </fill>
    <fill>
      <patternFill patternType="solid">
        <fgColor rgb="FF1B7A53"/>
        <bgColor rgb="FF045E65"/>
      </patternFill>
    </fill>
    <fill>
      <patternFill patternType="solid">
        <fgColor rgb="FFBD9000"/>
        <bgColor rgb="FFEF6301"/>
      </patternFill>
    </fill>
    <fill>
      <patternFill patternType="solid">
        <fgColor rgb="FFFFF2E8"/>
        <bgColor rgb="FFFFF3E0"/>
      </patternFill>
    </fill>
    <fill>
      <patternFill patternType="darkGray">
        <fgColor rgb="FFF6FBF6"/>
        <bgColor rgb="FFF6FFED"/>
      </patternFill>
    </fill>
    <fill>
      <patternFill patternType="solid">
        <fgColor rgb="FF722ED1"/>
        <bgColor rgb="FF622697"/>
      </patternFill>
    </fill>
    <fill>
      <patternFill patternType="mediumGray">
        <fgColor rgb="FFFFFCEA"/>
        <bgColor rgb="FFFFFDE7"/>
      </patternFill>
    </fill>
    <fill>
      <patternFill patternType="solid">
        <fgColor rgb="FFF9F0FF"/>
        <bgColor rgb="FFF3EEFF"/>
      </patternFill>
    </fill>
    <fill>
      <patternFill patternType="solid">
        <fgColor rgb="FF389519"/>
        <bgColor rgb="FF27AE60"/>
      </patternFill>
    </fill>
    <fill>
      <patternFill patternType="solid">
        <fgColor rgb="FFF6FFED"/>
        <bgColor rgb="FFF6FBF6"/>
      </patternFill>
    </fill>
    <fill>
      <patternFill patternType="solid">
        <fgColor rgb="FFFFF0F0"/>
        <bgColor rgb="FFFFF2E8"/>
      </patternFill>
    </fill>
    <fill>
      <patternFill patternType="solid">
        <fgColor rgb="FF0897AF"/>
        <bgColor rgb="FF27AE60"/>
      </patternFill>
    </fill>
    <fill>
      <patternFill patternType="solid">
        <fgColor rgb="FFE6FFFB"/>
        <bgColor rgb="FFE0F7FA"/>
      </patternFill>
    </fill>
    <fill>
      <patternFill patternType="solid">
        <fgColor rgb="FFF3EEFF"/>
        <bgColor rgb="FFF9F0FF"/>
      </patternFill>
    </fill>
    <fill>
      <patternFill patternType="mediumGray">
        <fgColor rgb="FF045E65"/>
        <bgColor rgb="FF05506E"/>
      </patternFill>
    </fill>
    <fill>
      <patternFill patternType="darkGray">
        <fgColor rgb="FFEF6301"/>
        <bgColor rgb="FFBD9000"/>
      </patternFill>
    </fill>
    <fill>
      <patternFill patternType="solid">
        <fgColor rgb="FFE8F4FD"/>
        <bgColor rgb="FFEBF3FF"/>
      </patternFill>
    </fill>
    <fill>
      <patternFill patternType="solid">
        <fgColor rgb="FFD6EEFC"/>
        <bgColor rgb="FFE3F2FD"/>
      </patternFill>
    </fill>
    <fill>
      <patternFill patternType="solid">
        <fgColor rgb="FFFFFCEA"/>
        <bgColor rgb="FFFFFDE7"/>
      </patternFill>
    </fill>
    <fill>
      <patternFill patternType="solid">
        <fgColor rgb="FF8D0417"/>
        <bgColor rgb="FFC92C23"/>
      </patternFill>
    </fill>
    <fill>
      <patternFill patternType="solid">
        <fgColor rgb="FFD2EDF4"/>
        <bgColor rgb="FF622697"/>
      </patternFill>
    </fill>
  </fills>
  <borders count="11">
    <border>
      <left/>
      <right/>
      <top/>
      <bottom/>
      <diagonal/>
    </border>
    <border>
      <left style="medium">
        <color rgb="FFE91E8C"/>
      </left>
      <right style="medium">
        <color rgb="FFE91E8C"/>
      </right>
      <top style="medium">
        <color rgb="FFE91E8C"/>
      </top>
      <bottom style="medium">
        <color rgb="FFE91E8C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622697"/>
      </left>
      <right style="medium">
        <color rgb="FF622697"/>
      </right>
      <top style="medium">
        <color rgb="FF622697"/>
      </top>
      <bottom style="medium">
        <color rgb="FF622697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/>
      <top/>
      <bottom/>
      <diagonal/>
    </border>
    <border>
      <left/>
      <right/>
      <top/>
      <bottom style="thin">
        <color rgb="FFBDBDBD"/>
      </bottom>
      <diagonal/>
    </border>
    <border>
      <left/>
      <right/>
      <top/>
      <bottom style="thin">
        <color rgb="FF05506E"/>
      </bottom>
      <diagonal/>
    </border>
    <border>
      <left style="thin">
        <color rgb="FF05506E"/>
      </left>
      <right style="thin">
        <color rgb="FF05506E"/>
      </right>
      <top style="thin">
        <color rgb="FF05506E"/>
      </top>
      <bottom style="thin">
        <color rgb="FF05506E"/>
      </bottom>
      <diagonal/>
    </border>
    <border>
      <left style="thin">
        <color rgb="FF7C5400"/>
      </left>
      <right style="thin">
        <color rgb="FF7C5400"/>
      </right>
      <top style="thin">
        <color rgb="FF7C5400"/>
      </top>
      <bottom style="thin">
        <color rgb="FF7C5400"/>
      </bottom>
      <diagonal/>
    </border>
    <border>
      <left style="thin">
        <color rgb="FFB0D9F6"/>
      </left>
      <right style="thin">
        <color rgb="FFB0D9F6"/>
      </right>
      <top style="thin">
        <color rgb="FFB0D9F6"/>
      </top>
      <bottom style="thin">
        <color rgb="FFB0D9F6"/>
      </bottom>
      <diagonal/>
    </border>
  </borders>
  <cellStyleXfs count="1">
    <xf numFmtId="0" fontId="0" fillId="0" borderId="0"/>
  </cellStyleXfs>
  <cellXfs count="315">
    <xf numFmtId="0" fontId="0" fillId="0" borderId="0" xfId="0"/>
    <xf numFmtId="0" fontId="79" fillId="0" borderId="0" xfId="0" applyFont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9" fontId="5" fillId="6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0" fillId="8" borderId="0" xfId="0" applyFill="1"/>
    <xf numFmtId="0" fontId="10" fillId="9" borderId="0" xfId="0" applyFont="1" applyFill="1" applyAlignment="1">
      <alignment vertical="center"/>
    </xf>
    <xf numFmtId="0" fontId="11" fillId="10" borderId="0" xfId="0" applyFont="1" applyFill="1" applyAlignment="1">
      <alignment vertical="center"/>
    </xf>
    <xf numFmtId="0" fontId="12" fillId="11" borderId="0" xfId="0" applyFont="1" applyFill="1" applyAlignment="1">
      <alignment vertical="center"/>
    </xf>
    <xf numFmtId="0" fontId="13" fillId="12" borderId="0" xfId="0" applyFont="1" applyFill="1" applyAlignment="1">
      <alignment vertical="center"/>
    </xf>
    <xf numFmtId="0" fontId="14" fillId="13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0" fontId="17" fillId="14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19" fillId="0" borderId="0" xfId="0" applyFont="1"/>
    <xf numFmtId="0" fontId="22" fillId="19" borderId="2" xfId="0" applyFont="1" applyFill="1" applyBorder="1" applyAlignment="1">
      <alignment horizontal="center" vertical="center" wrapText="1"/>
    </xf>
    <xf numFmtId="0" fontId="22" fillId="20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/>
    </xf>
    <xf numFmtId="164" fontId="23" fillId="6" borderId="2" xfId="0" applyNumberFormat="1" applyFont="1" applyFill="1" applyBorder="1" applyAlignment="1">
      <alignment horizontal="right" vertical="center"/>
    </xf>
    <xf numFmtId="3" fontId="23" fillId="6" borderId="2" xfId="0" applyNumberFormat="1" applyFont="1" applyFill="1" applyBorder="1" applyAlignment="1">
      <alignment horizontal="right" vertical="center"/>
    </xf>
    <xf numFmtId="165" fontId="24" fillId="14" borderId="2" xfId="0" applyNumberFormat="1" applyFont="1" applyFill="1" applyBorder="1" applyAlignment="1">
      <alignment horizontal="right" vertical="center"/>
    </xf>
    <xf numFmtId="165" fontId="25" fillId="10" borderId="2" xfId="0" applyNumberFormat="1" applyFont="1" applyFill="1" applyBorder="1" applyAlignment="1">
      <alignment horizontal="right" vertical="center"/>
    </xf>
    <xf numFmtId="165" fontId="17" fillId="21" borderId="2" xfId="0" applyNumberFormat="1" applyFont="1" applyFill="1" applyBorder="1" applyAlignment="1">
      <alignment horizontal="right" vertical="center"/>
    </xf>
    <xf numFmtId="165" fontId="27" fillId="22" borderId="2" xfId="0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left" vertical="center"/>
    </xf>
    <xf numFmtId="3" fontId="29" fillId="6" borderId="3" xfId="0" applyNumberFormat="1" applyFont="1" applyFill="1" applyBorder="1" applyAlignment="1">
      <alignment horizontal="center" vertical="center"/>
    </xf>
    <xf numFmtId="166" fontId="19" fillId="0" borderId="0" xfId="0" applyNumberFormat="1" applyFont="1"/>
    <xf numFmtId="0" fontId="30" fillId="0" borderId="0" xfId="0" applyFont="1" applyAlignment="1">
      <alignment horizontal="left" vertical="center"/>
    </xf>
    <xf numFmtId="0" fontId="23" fillId="26" borderId="2" xfId="0" applyFont="1" applyFill="1" applyBorder="1" applyAlignment="1">
      <alignment horizontal="left" vertical="center"/>
    </xf>
    <xf numFmtId="0" fontId="23" fillId="26" borderId="2" xfId="0" applyFont="1" applyFill="1" applyBorder="1" applyAlignment="1">
      <alignment horizontal="center" vertical="center"/>
    </xf>
    <xf numFmtId="0" fontId="30" fillId="27" borderId="2" xfId="0" applyFont="1" applyFill="1" applyBorder="1" applyAlignment="1">
      <alignment horizontal="left" vertical="center"/>
    </xf>
    <xf numFmtId="0" fontId="23" fillId="27" borderId="2" xfId="0" applyFont="1" applyFill="1" applyBorder="1" applyAlignment="1">
      <alignment horizontal="center" vertical="center"/>
    </xf>
    <xf numFmtId="0" fontId="30" fillId="28" borderId="2" xfId="0" applyFont="1" applyFill="1" applyBorder="1" applyAlignment="1">
      <alignment horizontal="left" vertical="center"/>
    </xf>
    <xf numFmtId="0" fontId="23" fillId="28" borderId="2" xfId="0" applyFont="1" applyFill="1" applyBorder="1" applyAlignment="1">
      <alignment horizontal="center" vertical="center"/>
    </xf>
    <xf numFmtId="167" fontId="32" fillId="28" borderId="2" xfId="0" applyNumberFormat="1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168" fontId="0" fillId="0" borderId="0" xfId="0" applyNumberFormat="1"/>
    <xf numFmtId="0" fontId="38" fillId="11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/>
    </xf>
    <xf numFmtId="0" fontId="41" fillId="14" borderId="0" xfId="0" applyFont="1" applyFill="1" applyAlignment="1">
      <alignment horizontal="center" vertical="center"/>
    </xf>
    <xf numFmtId="0" fontId="42" fillId="11" borderId="0" xfId="0" applyFont="1" applyFill="1" applyAlignment="1">
      <alignment horizontal="center" vertical="center"/>
    </xf>
    <xf numFmtId="0" fontId="43" fillId="10" borderId="0" xfId="0" applyFont="1" applyFill="1" applyAlignment="1">
      <alignment horizontal="center" vertical="center"/>
    </xf>
    <xf numFmtId="0" fontId="22" fillId="32" borderId="2" xfId="0" applyFont="1" applyFill="1" applyBorder="1" applyAlignment="1">
      <alignment horizontal="center" vertical="center" wrapText="1"/>
    </xf>
    <xf numFmtId="0" fontId="22" fillId="33" borderId="2" xfId="0" applyFont="1" applyFill="1" applyBorder="1" applyAlignment="1">
      <alignment horizontal="center" vertical="center" wrapText="1"/>
    </xf>
    <xf numFmtId="0" fontId="22" fillId="34" borderId="2" xfId="0" applyFont="1" applyFill="1" applyBorder="1" applyAlignment="1">
      <alignment horizontal="center" vertical="center" wrapText="1"/>
    </xf>
    <xf numFmtId="168" fontId="22" fillId="35" borderId="2" xfId="0" applyNumberFormat="1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22" fillId="36" borderId="2" xfId="0" applyFont="1" applyFill="1" applyBorder="1" applyAlignment="1">
      <alignment horizontal="center" vertical="center" wrapText="1"/>
    </xf>
    <xf numFmtId="0" fontId="44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44" fillId="8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center" vertical="center"/>
    </xf>
    <xf numFmtId="164" fontId="15" fillId="6" borderId="2" xfId="0" applyNumberFormat="1" applyFont="1" applyFill="1" applyBorder="1" applyAlignment="1">
      <alignment horizontal="center" vertical="center"/>
    </xf>
    <xf numFmtId="0" fontId="45" fillId="14" borderId="2" xfId="0" applyFont="1" applyFill="1" applyBorder="1" applyAlignment="1">
      <alignment horizontal="center" vertical="center"/>
    </xf>
    <xf numFmtId="9" fontId="46" fillId="11" borderId="2" xfId="0" applyNumberFormat="1" applyFont="1" applyFill="1" applyBorder="1" applyAlignment="1">
      <alignment horizontal="center" vertical="center"/>
    </xf>
    <xf numFmtId="168" fontId="47" fillId="37" borderId="2" xfId="0" applyNumberFormat="1" applyFont="1" applyFill="1" applyBorder="1" applyAlignment="1">
      <alignment horizontal="center" vertical="center"/>
    </xf>
    <xf numFmtId="0" fontId="48" fillId="15" borderId="2" xfId="0" applyFont="1" applyFill="1" applyBorder="1" applyAlignment="1">
      <alignment horizontal="center" vertical="center"/>
    </xf>
    <xf numFmtId="0" fontId="48" fillId="8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9" fontId="49" fillId="11" borderId="2" xfId="0" applyNumberFormat="1" applyFont="1" applyFill="1" applyBorder="1" applyAlignment="1">
      <alignment horizontal="center" vertical="center"/>
    </xf>
    <xf numFmtId="168" fontId="45" fillId="14" borderId="2" xfId="0" applyNumberFormat="1" applyFont="1" applyFill="1" applyBorder="1" applyAlignment="1">
      <alignment horizontal="center" vertical="center"/>
    </xf>
    <xf numFmtId="0" fontId="44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/>
    </xf>
    <xf numFmtId="0" fontId="44" fillId="12" borderId="2" xfId="0" applyFont="1" applyFill="1" applyBorder="1" applyAlignment="1">
      <alignment horizontal="left" vertical="center"/>
    </xf>
    <xf numFmtId="0" fontId="0" fillId="6" borderId="2" xfId="0" applyFill="1" applyBorder="1"/>
    <xf numFmtId="164" fontId="0" fillId="6" borderId="2" xfId="0" applyNumberFormat="1" applyFill="1" applyBorder="1"/>
    <xf numFmtId="0" fontId="0" fillId="14" borderId="2" xfId="0" applyFill="1" applyBorder="1"/>
    <xf numFmtId="9" fontId="0" fillId="6" borderId="2" xfId="0" applyNumberFormat="1" applyFill="1" applyBorder="1"/>
    <xf numFmtId="168" fontId="0" fillId="37" borderId="2" xfId="0" applyNumberFormat="1" applyFill="1" applyBorder="1"/>
    <xf numFmtId="0" fontId="0" fillId="15" borderId="2" xfId="0" applyFill="1" applyBorder="1"/>
    <xf numFmtId="0" fontId="0" fillId="8" borderId="2" xfId="0" applyFill="1" applyBorder="1"/>
    <xf numFmtId="0" fontId="0" fillId="10" borderId="2" xfId="0" applyFill="1" applyBorder="1"/>
    <xf numFmtId="9" fontId="0" fillId="11" borderId="2" xfId="0" applyNumberFormat="1" applyFill="1" applyBorder="1"/>
    <xf numFmtId="0" fontId="14" fillId="7" borderId="0" xfId="0" applyFont="1" applyFill="1" applyAlignment="1">
      <alignment horizontal="center" vertical="center"/>
    </xf>
    <xf numFmtId="168" fontId="14" fillId="7" borderId="0" xfId="0" applyNumberFormat="1" applyFont="1" applyFill="1" applyAlignment="1">
      <alignment horizontal="center" vertical="center"/>
    </xf>
    <xf numFmtId="0" fontId="51" fillId="0" borderId="0" xfId="0" applyFont="1"/>
    <xf numFmtId="0" fontId="52" fillId="39" borderId="0" xfId="0" applyFont="1" applyFill="1"/>
    <xf numFmtId="0" fontId="54" fillId="41" borderId="0" xfId="0" applyFont="1" applyFill="1"/>
    <xf numFmtId="0" fontId="55" fillId="42" borderId="0" xfId="0" applyFont="1" applyFill="1"/>
    <xf numFmtId="0" fontId="54" fillId="43" borderId="0" xfId="0" applyFont="1" applyFill="1"/>
    <xf numFmtId="0" fontId="59" fillId="44" borderId="0" xfId="0" applyFont="1" applyFill="1"/>
    <xf numFmtId="0" fontId="7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9" fontId="39" fillId="10" borderId="0" xfId="0" applyNumberFormat="1" applyFont="1" applyFill="1" applyAlignment="1">
      <alignment horizontal="center" vertical="center"/>
    </xf>
    <xf numFmtId="0" fontId="6" fillId="0" borderId="0" xfId="0" applyFont="1"/>
    <xf numFmtId="0" fontId="22" fillId="3" borderId="2" xfId="0" applyFont="1" applyFill="1" applyBorder="1" applyAlignment="1">
      <alignment horizontal="center" vertical="center" wrapText="1"/>
    </xf>
    <xf numFmtId="0" fontId="22" fillId="35" borderId="2" xfId="0" applyFont="1" applyFill="1" applyBorder="1" applyAlignment="1">
      <alignment horizontal="center" vertical="center" wrapText="1"/>
    </xf>
    <xf numFmtId="0" fontId="61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61" fillId="6" borderId="2" xfId="0" applyFont="1" applyFill="1" applyBorder="1"/>
    <xf numFmtId="0" fontId="15" fillId="6" borderId="2" xfId="0" applyFont="1" applyFill="1" applyBorder="1" applyAlignment="1">
      <alignment horizontal="center"/>
    </xf>
    <xf numFmtId="0" fontId="45" fillId="14" borderId="2" xfId="0" applyFont="1" applyFill="1" applyBorder="1" applyAlignment="1">
      <alignment horizontal="center"/>
    </xf>
    <xf numFmtId="9" fontId="46" fillId="11" borderId="2" xfId="0" applyNumberFormat="1" applyFont="1" applyFill="1" applyBorder="1" applyAlignment="1">
      <alignment horizontal="center"/>
    </xf>
    <xf numFmtId="0" fontId="47" fillId="37" borderId="2" xfId="0" applyFont="1" applyFill="1" applyBorder="1" applyAlignment="1">
      <alignment horizontal="center"/>
    </xf>
    <xf numFmtId="0" fontId="48" fillId="15" borderId="2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9" fontId="49" fillId="11" borderId="2" xfId="0" applyNumberFormat="1" applyFont="1" applyFill="1" applyBorder="1" applyAlignment="1">
      <alignment horizontal="center"/>
    </xf>
    <xf numFmtId="0" fontId="0" fillId="37" borderId="2" xfId="0" applyFill="1" applyBorder="1"/>
    <xf numFmtId="0" fontId="14" fillId="4" borderId="0" xfId="0" applyFont="1" applyFill="1" applyAlignment="1">
      <alignment horizontal="center" vertical="center"/>
    </xf>
    <xf numFmtId="0" fontId="14" fillId="36" borderId="0" xfId="0" applyFont="1" applyFill="1" applyAlignment="1">
      <alignment horizontal="center" vertical="center"/>
    </xf>
    <xf numFmtId="0" fontId="63" fillId="0" borderId="0" xfId="0" applyFont="1"/>
    <xf numFmtId="0" fontId="64" fillId="10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6" fillId="10" borderId="0" xfId="0" applyFont="1" applyFill="1" applyAlignment="1">
      <alignment horizontal="left" vertical="center"/>
    </xf>
    <xf numFmtId="0" fontId="65" fillId="10" borderId="0" xfId="0" applyFont="1" applyFill="1" applyAlignment="1">
      <alignment horizontal="left" vertical="center"/>
    </xf>
    <xf numFmtId="0" fontId="66" fillId="6" borderId="0" xfId="0" applyFont="1" applyFill="1" applyAlignment="1">
      <alignment horizontal="center"/>
    </xf>
    <xf numFmtId="0" fontId="67" fillId="10" borderId="0" xfId="0" applyFont="1" applyFill="1" applyAlignment="1">
      <alignment horizontal="left" vertical="center"/>
    </xf>
    <xf numFmtId="0" fontId="68" fillId="11" borderId="0" xfId="0" applyFont="1" applyFill="1" applyAlignment="1">
      <alignment horizontal="left" vertical="center"/>
    </xf>
    <xf numFmtId="0" fontId="69" fillId="15" borderId="0" xfId="0" applyFont="1" applyFill="1" applyAlignment="1">
      <alignment horizontal="left" vertical="center"/>
    </xf>
    <xf numFmtId="0" fontId="14" fillId="45" borderId="0" xfId="0" applyFont="1" applyFill="1" applyAlignment="1">
      <alignment horizontal="left" vertical="center"/>
    </xf>
    <xf numFmtId="0" fontId="20" fillId="45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70" fillId="6" borderId="0" xfId="0" applyFont="1" applyFill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71" fillId="15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center"/>
    </xf>
    <xf numFmtId="0" fontId="72" fillId="14" borderId="0" xfId="0" applyFont="1" applyFill="1" applyAlignment="1">
      <alignment horizontal="center"/>
    </xf>
    <xf numFmtId="0" fontId="71" fillId="0" borderId="0" xfId="0" applyFont="1" applyAlignment="1">
      <alignment horizontal="left" vertical="center"/>
    </xf>
    <xf numFmtId="0" fontId="73" fillId="14" borderId="0" xfId="0" applyFont="1" applyFill="1"/>
    <xf numFmtId="0" fontId="74" fillId="0" borderId="0" xfId="0" applyFont="1"/>
    <xf numFmtId="0" fontId="7" fillId="5" borderId="0" xfId="0" applyFont="1" applyFill="1" applyAlignment="1">
      <alignment horizontal="center"/>
    </xf>
    <xf numFmtId="0" fontId="14" fillId="46" borderId="0" xfId="0" applyFont="1" applyFill="1" applyAlignment="1">
      <alignment horizontal="left" vertical="center"/>
    </xf>
    <xf numFmtId="0" fontId="20" fillId="46" borderId="0" xfId="0" applyFont="1" applyFill="1" applyAlignment="1">
      <alignment horizontal="center"/>
    </xf>
    <xf numFmtId="0" fontId="75" fillId="10" borderId="0" xfId="0" applyFont="1" applyFill="1" applyAlignment="1">
      <alignment horizontal="center"/>
    </xf>
    <xf numFmtId="0" fontId="4" fillId="11" borderId="0" xfId="0" applyFont="1" applyFill="1" applyAlignment="1">
      <alignment horizontal="left" vertical="center"/>
    </xf>
    <xf numFmtId="0" fontId="46" fillId="11" borderId="0" xfId="0" applyFont="1" applyFill="1" applyAlignment="1">
      <alignment horizontal="center"/>
    </xf>
    <xf numFmtId="0" fontId="76" fillId="15" borderId="0" xfId="0" applyFont="1" applyFill="1" applyAlignment="1">
      <alignment vertical="center"/>
    </xf>
    <xf numFmtId="0" fontId="77" fillId="15" borderId="0" xfId="0" applyFont="1" applyFill="1" applyAlignment="1">
      <alignment horizontal="center" vertical="center"/>
    </xf>
    <xf numFmtId="0" fontId="46" fillId="11" borderId="0" xfId="0" applyFont="1" applyFill="1" applyAlignment="1">
      <alignment vertical="center"/>
    </xf>
    <xf numFmtId="0" fontId="73" fillId="14" borderId="0" xfId="0" applyFont="1" applyFill="1" applyAlignment="1">
      <alignment horizontal="center" vertical="center"/>
    </xf>
    <xf numFmtId="0" fontId="78" fillId="10" borderId="0" xfId="0" applyFont="1" applyFill="1"/>
    <xf numFmtId="0" fontId="6" fillId="0" borderId="0" xfId="0" applyFont="1" applyAlignment="1">
      <alignment vertical="center"/>
    </xf>
    <xf numFmtId="0" fontId="80" fillId="0" borderId="0" xfId="0" applyFont="1" applyAlignment="1">
      <alignment horizontal="right" vertical="center"/>
    </xf>
    <xf numFmtId="9" fontId="81" fillId="11" borderId="0" xfId="0" applyNumberFormat="1" applyFont="1" applyFill="1" applyAlignment="1">
      <alignment horizontal="center" vertical="center"/>
    </xf>
    <xf numFmtId="0" fontId="82" fillId="0" borderId="0" xfId="0" applyFont="1"/>
    <xf numFmtId="0" fontId="83" fillId="47" borderId="0" xfId="0" applyFont="1" applyFill="1" applyAlignment="1">
      <alignment horizontal="left" vertical="center"/>
    </xf>
    <xf numFmtId="0" fontId="84" fillId="8" borderId="0" xfId="0" applyFont="1" applyFill="1" applyAlignment="1">
      <alignment horizontal="left" vertical="center"/>
    </xf>
    <xf numFmtId="0" fontId="85" fillId="11" borderId="0" xfId="0" applyFont="1" applyFill="1" applyAlignment="1">
      <alignment horizontal="left" vertical="center"/>
    </xf>
    <xf numFmtId="0" fontId="86" fillId="48" borderId="0" xfId="0" applyFont="1" applyFill="1" applyAlignment="1">
      <alignment horizontal="left" vertical="center"/>
    </xf>
    <xf numFmtId="0" fontId="14" fillId="49" borderId="0" xfId="0" applyFont="1" applyFill="1" applyAlignment="1">
      <alignment horizontal="center" vertical="center"/>
    </xf>
    <xf numFmtId="0" fontId="87" fillId="0" borderId="0" xfId="0" applyFont="1"/>
    <xf numFmtId="0" fontId="14" fillId="39" borderId="0" xfId="0" applyFont="1" applyFill="1" applyAlignment="1">
      <alignment horizontal="center" vertical="center"/>
    </xf>
    <xf numFmtId="0" fontId="88" fillId="32" borderId="0" xfId="0" applyFont="1" applyFill="1" applyAlignment="1">
      <alignment horizontal="center" vertical="center" wrapText="1"/>
    </xf>
    <xf numFmtId="0" fontId="88" fillId="50" borderId="0" xfId="0" applyFont="1" applyFill="1" applyAlignment="1">
      <alignment horizontal="center" vertical="center" wrapText="1"/>
    </xf>
    <xf numFmtId="0" fontId="88" fillId="51" borderId="0" xfId="0" applyFont="1" applyFill="1" applyAlignment="1">
      <alignment horizontal="center" vertical="center" wrapText="1"/>
    </xf>
    <xf numFmtId="0" fontId="88" fillId="52" borderId="0" xfId="0" applyFont="1" applyFill="1" applyAlignment="1">
      <alignment horizontal="center" vertical="center" wrapText="1"/>
    </xf>
    <xf numFmtId="0" fontId="88" fillId="39" borderId="0" xfId="0" applyFont="1" applyFill="1" applyAlignment="1">
      <alignment horizontal="center" vertical="center" wrapText="1"/>
    </xf>
    <xf numFmtId="0" fontId="88" fillId="36" borderId="0" xfId="0" applyFont="1" applyFill="1" applyAlignment="1">
      <alignment horizontal="center" vertical="center" wrapText="1"/>
    </xf>
    <xf numFmtId="0" fontId="89" fillId="53" borderId="0" xfId="0" applyFont="1" applyFill="1" applyAlignment="1">
      <alignment horizontal="center" vertical="center"/>
    </xf>
    <xf numFmtId="0" fontId="90" fillId="47" borderId="0" xfId="0" applyFont="1" applyFill="1" applyAlignment="1">
      <alignment horizontal="center" vertical="center"/>
    </xf>
    <xf numFmtId="0" fontId="90" fillId="47" borderId="0" xfId="0" applyFont="1" applyFill="1" applyAlignment="1">
      <alignment horizontal="right" vertical="center"/>
    </xf>
    <xf numFmtId="0" fontId="91" fillId="53" borderId="0" xfId="0" applyFont="1" applyFill="1" applyAlignment="1">
      <alignment horizontal="right" vertical="center"/>
    </xf>
    <xf numFmtId="0" fontId="92" fillId="11" borderId="0" xfId="0" applyFont="1" applyFill="1" applyAlignment="1">
      <alignment horizontal="right" vertical="center"/>
    </xf>
    <xf numFmtId="0" fontId="93" fillId="48" borderId="0" xfId="0" applyFont="1" applyFill="1" applyAlignment="1">
      <alignment horizontal="right" vertical="center"/>
    </xf>
    <xf numFmtId="0" fontId="89" fillId="47" borderId="0" xfId="0" applyFont="1" applyFill="1" applyAlignment="1">
      <alignment horizontal="center" vertical="center"/>
    </xf>
    <xf numFmtId="0" fontId="91" fillId="47" borderId="0" xfId="0" applyFont="1" applyFill="1" applyAlignment="1">
      <alignment horizontal="right" vertical="center"/>
    </xf>
    <xf numFmtId="0" fontId="89" fillId="8" borderId="0" xfId="0" applyFont="1" applyFill="1" applyAlignment="1">
      <alignment horizontal="center" vertical="center"/>
    </xf>
    <xf numFmtId="0" fontId="91" fillId="8" borderId="0" xfId="0" applyFont="1" applyFill="1" applyAlignment="1">
      <alignment horizontal="right" vertical="center"/>
    </xf>
    <xf numFmtId="0" fontId="22" fillId="49" borderId="0" xfId="0" applyFont="1" applyFill="1" applyAlignment="1">
      <alignment horizontal="center" vertical="center"/>
    </xf>
    <xf numFmtId="0" fontId="26" fillId="49" borderId="0" xfId="0" applyFont="1" applyFill="1" applyAlignment="1">
      <alignment horizontal="right" vertical="center"/>
    </xf>
    <xf numFmtId="0" fontId="22" fillId="39" borderId="0" xfId="0" applyFont="1" applyFill="1" applyAlignment="1">
      <alignment horizontal="center" vertical="center"/>
    </xf>
    <xf numFmtId="0" fontId="26" fillId="39" borderId="0" xfId="0" applyFont="1" applyFill="1" applyAlignment="1">
      <alignment horizontal="right" vertical="center"/>
    </xf>
    <xf numFmtId="0" fontId="94" fillId="54" borderId="0" xfId="0" applyFont="1" applyFill="1" applyAlignment="1">
      <alignment horizontal="left" vertical="center"/>
    </xf>
    <xf numFmtId="0" fontId="14" fillId="52" borderId="0" xfId="0" applyFont="1" applyFill="1" applyAlignment="1">
      <alignment horizontal="center" vertical="center"/>
    </xf>
    <xf numFmtId="0" fontId="14" fillId="55" borderId="0" xfId="0" applyFont="1" applyFill="1" applyAlignment="1">
      <alignment horizontal="center" vertical="center"/>
    </xf>
    <xf numFmtId="0" fontId="89" fillId="56" borderId="0" xfId="0" applyFont="1" applyFill="1" applyAlignment="1">
      <alignment horizontal="center" vertical="center"/>
    </xf>
    <xf numFmtId="0" fontId="91" fillId="56" borderId="0" xfId="0" applyFont="1" applyFill="1" applyAlignment="1">
      <alignment horizontal="right" vertical="center"/>
    </xf>
    <xf numFmtId="0" fontId="89" fillId="57" borderId="0" xfId="0" applyFont="1" applyFill="1" applyAlignment="1">
      <alignment horizontal="center" vertical="center"/>
    </xf>
    <xf numFmtId="0" fontId="91" fillId="57" borderId="0" xfId="0" applyFont="1" applyFill="1" applyAlignment="1">
      <alignment horizontal="right" vertical="center"/>
    </xf>
    <xf numFmtId="0" fontId="22" fillId="52" borderId="0" xfId="0" applyFont="1" applyFill="1" applyAlignment="1">
      <alignment horizontal="center" vertical="center"/>
    </xf>
    <xf numFmtId="0" fontId="26" fillId="52" borderId="0" xfId="0" applyFont="1" applyFill="1" applyAlignment="1">
      <alignment horizontal="right" vertical="center"/>
    </xf>
    <xf numFmtId="0" fontId="22" fillId="55" borderId="0" xfId="0" applyFont="1" applyFill="1" applyAlignment="1">
      <alignment horizontal="center" vertical="center"/>
    </xf>
    <xf numFmtId="0" fontId="26" fillId="55" borderId="0" xfId="0" applyFont="1" applyFill="1" applyAlignment="1">
      <alignment horizontal="right" vertical="center"/>
    </xf>
    <xf numFmtId="0" fontId="14" fillId="58" borderId="0" xfId="0" applyFont="1" applyFill="1" applyAlignment="1">
      <alignment horizontal="center" vertical="center"/>
    </xf>
    <xf numFmtId="0" fontId="14" fillId="50" borderId="0" xfId="0" applyFont="1" applyFill="1" applyAlignment="1">
      <alignment horizontal="center" vertical="center"/>
    </xf>
    <xf numFmtId="0" fontId="89" fillId="59" borderId="0" xfId="0" applyFont="1" applyFill="1" applyAlignment="1">
      <alignment horizontal="center" vertical="center"/>
    </xf>
    <xf numFmtId="0" fontId="91" fillId="59" borderId="0" xfId="0" applyFont="1" applyFill="1" applyAlignment="1">
      <alignment horizontal="right" vertical="center"/>
    </xf>
    <xf numFmtId="0" fontId="89" fillId="60" borderId="0" xfId="0" applyFont="1" applyFill="1" applyAlignment="1">
      <alignment horizontal="center" vertical="center"/>
    </xf>
    <xf numFmtId="0" fontId="91" fillId="60" borderId="0" xfId="0" applyFont="1" applyFill="1" applyAlignment="1">
      <alignment horizontal="right" vertical="center"/>
    </xf>
    <xf numFmtId="0" fontId="22" fillId="58" borderId="0" xfId="0" applyFont="1" applyFill="1" applyAlignment="1">
      <alignment horizontal="center" vertical="center"/>
    </xf>
    <xf numFmtId="0" fontId="26" fillId="58" borderId="0" xfId="0" applyFont="1" applyFill="1" applyAlignment="1">
      <alignment horizontal="right" vertical="center"/>
    </xf>
    <xf numFmtId="0" fontId="22" fillId="50" borderId="0" xfId="0" applyFont="1" applyFill="1" applyAlignment="1">
      <alignment horizontal="center" vertical="center"/>
    </xf>
    <xf numFmtId="0" fontId="26" fillId="50" borderId="0" xfId="0" applyFont="1" applyFill="1" applyAlignment="1">
      <alignment horizontal="right" vertical="center"/>
    </xf>
    <xf numFmtId="0" fontId="14" fillId="61" borderId="0" xfId="0" applyFont="1" applyFill="1" applyAlignment="1">
      <alignment horizontal="center" vertical="center"/>
    </xf>
    <xf numFmtId="0" fontId="89" fillId="62" borderId="0" xfId="0" applyFont="1" applyFill="1" applyAlignment="1">
      <alignment horizontal="center" vertical="center"/>
    </xf>
    <xf numFmtId="0" fontId="91" fillId="62" borderId="0" xfId="0" applyFont="1" applyFill="1" applyAlignment="1">
      <alignment horizontal="right" vertical="center"/>
    </xf>
    <xf numFmtId="0" fontId="22" fillId="61" borderId="0" xfId="0" applyFont="1" applyFill="1" applyAlignment="1">
      <alignment horizontal="center" vertical="center"/>
    </xf>
    <xf numFmtId="0" fontId="26" fillId="61" borderId="0" xfId="0" applyFont="1" applyFill="1" applyAlignment="1">
      <alignment horizontal="right" vertical="center"/>
    </xf>
    <xf numFmtId="0" fontId="95" fillId="63" borderId="0" xfId="0" applyFont="1" applyFill="1" applyAlignment="1">
      <alignment horizontal="left" vertical="center"/>
    </xf>
    <xf numFmtId="0" fontId="91" fillId="63" borderId="0" xfId="0" applyFont="1" applyFill="1" applyAlignment="1">
      <alignment horizontal="right" vertical="center"/>
    </xf>
    <xf numFmtId="0" fontId="96" fillId="63" borderId="0" xfId="0" applyFont="1" applyFill="1" applyAlignment="1">
      <alignment horizontal="right" vertical="center"/>
    </xf>
    <xf numFmtId="0" fontId="97" fillId="63" borderId="0" xfId="0" applyFont="1" applyFill="1" applyAlignment="1">
      <alignment horizontal="right" vertical="center"/>
    </xf>
    <xf numFmtId="0" fontId="93" fillId="63" borderId="0" xfId="0" applyFont="1" applyFill="1" applyAlignment="1">
      <alignment horizontal="right" vertical="center"/>
    </xf>
    <xf numFmtId="0" fontId="95" fillId="8" borderId="0" xfId="0" applyFont="1" applyFill="1" applyAlignment="1">
      <alignment horizontal="left" vertical="center"/>
    </xf>
    <xf numFmtId="0" fontId="96" fillId="8" borderId="0" xfId="0" applyFont="1" applyFill="1" applyAlignment="1">
      <alignment horizontal="right" vertical="center"/>
    </xf>
    <xf numFmtId="0" fontId="97" fillId="8" borderId="0" xfId="0" applyFont="1" applyFill="1" applyAlignment="1">
      <alignment horizontal="right" vertical="center"/>
    </xf>
    <xf numFmtId="0" fontId="93" fillId="8" borderId="0" xfId="0" applyFont="1" applyFill="1" applyAlignment="1">
      <alignment horizontal="right" vertical="center"/>
    </xf>
    <xf numFmtId="0" fontId="22" fillId="32" borderId="0" xfId="0" applyFont="1" applyFill="1" applyAlignment="1">
      <alignment horizontal="center" vertical="center"/>
    </xf>
    <xf numFmtId="0" fontId="26" fillId="51" borderId="0" xfId="0" applyFont="1" applyFill="1" applyAlignment="1">
      <alignment horizontal="right" vertical="center"/>
    </xf>
    <xf numFmtId="0" fontId="22" fillId="64" borderId="8" xfId="0" applyFont="1" applyFill="1" applyBorder="1" applyAlignment="1">
      <alignment horizontal="center" vertical="center" wrapText="1"/>
    </xf>
    <xf numFmtId="0" fontId="26" fillId="32" borderId="0" xfId="0" applyFont="1" applyFill="1" applyAlignment="1">
      <alignment horizontal="center" vertical="center"/>
    </xf>
    <xf numFmtId="0" fontId="26" fillId="51" borderId="0" xfId="0" applyFont="1" applyFill="1" applyAlignment="1">
      <alignment horizontal="center" vertical="center"/>
    </xf>
    <xf numFmtId="0" fontId="22" fillId="65" borderId="9" xfId="0" applyFont="1" applyFill="1" applyBorder="1" applyAlignment="1">
      <alignment horizontal="center" vertical="center" wrapText="1"/>
    </xf>
    <xf numFmtId="0" fontId="98" fillId="66" borderId="10" xfId="0" applyFont="1" applyFill="1" applyBorder="1" applyAlignment="1">
      <alignment horizontal="center" vertical="center" wrapText="1"/>
    </xf>
    <xf numFmtId="0" fontId="99" fillId="63" borderId="0" xfId="0" applyFont="1" applyFill="1" applyAlignment="1">
      <alignment horizontal="center" vertical="center"/>
    </xf>
    <xf numFmtId="0" fontId="100" fillId="63" borderId="0" xfId="0" applyFont="1" applyFill="1" applyAlignment="1">
      <alignment horizontal="left" vertical="center"/>
    </xf>
    <xf numFmtId="0" fontId="100" fillId="63" borderId="0" xfId="0" applyFont="1" applyFill="1" applyAlignment="1">
      <alignment horizontal="center" vertical="center"/>
    </xf>
    <xf numFmtId="0" fontId="100" fillId="63" borderId="0" xfId="0" applyFont="1" applyFill="1" applyAlignment="1">
      <alignment horizontal="right" vertical="center"/>
    </xf>
    <xf numFmtId="0" fontId="93" fillId="67" borderId="0" xfId="0" applyFont="1" applyFill="1" applyAlignment="1">
      <alignment horizontal="center" vertical="center"/>
    </xf>
    <xf numFmtId="164" fontId="101" fillId="68" borderId="2" xfId="0" applyNumberFormat="1" applyFont="1" applyFill="1" applyBorder="1" applyAlignment="1">
      <alignment horizontal="right" vertical="center"/>
    </xf>
    <xf numFmtId="0" fontId="102" fillId="63" borderId="0" xfId="0" applyFont="1" applyFill="1" applyAlignment="1">
      <alignment horizontal="right" vertical="center"/>
    </xf>
    <xf numFmtId="0" fontId="99" fillId="8" borderId="0" xfId="0" applyFont="1" applyFill="1" applyAlignment="1">
      <alignment horizontal="center" vertical="center"/>
    </xf>
    <xf numFmtId="0" fontId="100" fillId="8" borderId="0" xfId="0" applyFont="1" applyFill="1" applyAlignment="1">
      <alignment horizontal="left" vertical="center"/>
    </xf>
    <xf numFmtId="0" fontId="100" fillId="8" borderId="0" xfId="0" applyFont="1" applyFill="1" applyAlignment="1">
      <alignment horizontal="center" vertical="center"/>
    </xf>
    <xf numFmtId="0" fontId="100" fillId="8" borderId="0" xfId="0" applyFont="1" applyFill="1" applyAlignment="1">
      <alignment horizontal="right" vertical="center"/>
    </xf>
    <xf numFmtId="0" fontId="102" fillId="8" borderId="0" xfId="0" applyFont="1" applyFill="1" applyAlignment="1">
      <alignment horizontal="right" vertical="center"/>
    </xf>
    <xf numFmtId="0" fontId="103" fillId="9" borderId="0" xfId="0" applyFont="1" applyFill="1" applyAlignment="1">
      <alignment horizontal="center" vertical="center"/>
    </xf>
    <xf numFmtId="0" fontId="14" fillId="32" borderId="0" xfId="0" applyFont="1" applyFill="1" applyAlignment="1">
      <alignment vertical="center"/>
    </xf>
    <xf numFmtId="0" fontId="22" fillId="51" borderId="0" xfId="0" applyFont="1" applyFill="1" applyAlignment="1">
      <alignment horizontal="center" vertical="center"/>
    </xf>
    <xf numFmtId="0" fontId="22" fillId="69" borderId="0" xfId="0" applyFont="1" applyFill="1" applyAlignment="1">
      <alignment horizontal="center" vertical="center"/>
    </xf>
    <xf numFmtId="1" fontId="105" fillId="8" borderId="0" xfId="0" applyNumberFormat="1" applyFont="1" applyFill="1" applyAlignment="1">
      <alignment horizontal="center" vertical="center"/>
    </xf>
    <xf numFmtId="1" fontId="106" fillId="8" borderId="0" xfId="0" applyNumberFormat="1" applyFont="1" applyFill="1" applyAlignment="1">
      <alignment horizontal="center" vertical="center"/>
    </xf>
    <xf numFmtId="0" fontId="107" fillId="8" borderId="0" xfId="0" applyFont="1" applyFill="1" applyAlignment="1">
      <alignment horizontal="center" vertical="center"/>
    </xf>
    <xf numFmtId="1" fontId="100" fillId="63" borderId="0" xfId="0" applyNumberFormat="1" applyFont="1" applyFill="1" applyAlignment="1">
      <alignment horizontal="center" vertical="center"/>
    </xf>
    <xf numFmtId="1" fontId="100" fillId="8" borderId="0" xfId="0" applyNumberFormat="1" applyFont="1" applyFill="1" applyAlignment="1">
      <alignment horizontal="center" vertical="center"/>
    </xf>
    <xf numFmtId="0" fontId="14" fillId="32" borderId="0" xfId="0" applyFont="1" applyFill="1" applyAlignment="1">
      <alignment horizontal="center" vertical="center"/>
    </xf>
    <xf numFmtId="0" fontId="14" fillId="51" borderId="0" xfId="0" applyFont="1" applyFill="1" applyAlignment="1">
      <alignment horizontal="center" vertical="center"/>
    </xf>
    <xf numFmtId="1" fontId="14" fillId="51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3" fillId="32" borderId="0" xfId="0" applyFont="1" applyFill="1" applyAlignment="1">
      <alignment horizontal="center" vertical="center"/>
    </xf>
    <xf numFmtId="0" fontId="31" fillId="32" borderId="0" xfId="0" applyFont="1" applyFill="1" applyAlignment="1">
      <alignment horizontal="center" vertical="center" wrapText="1"/>
    </xf>
    <xf numFmtId="0" fontId="31" fillId="70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left" vertical="center"/>
    </xf>
    <xf numFmtId="0" fontId="16" fillId="14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16" fillId="1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14" fillId="13" borderId="0" xfId="0" applyFont="1" applyFill="1" applyAlignment="1">
      <alignment horizontal="center" vertical="center"/>
    </xf>
    <xf numFmtId="0" fontId="9" fillId="10" borderId="0" xfId="0" applyFont="1" applyFill="1" applyAlignment="1">
      <alignment vertical="center" wrapText="1"/>
    </xf>
    <xf numFmtId="0" fontId="8" fillId="11" borderId="0" xfId="0" applyFont="1" applyFill="1" applyAlignment="1">
      <alignment vertical="center" wrapText="1"/>
    </xf>
    <xf numFmtId="0" fontId="9" fillId="11" borderId="0" xfId="0" applyFont="1" applyFill="1" applyAlignment="1">
      <alignment vertical="center" wrapText="1"/>
    </xf>
    <xf numFmtId="0" fontId="8" fillId="12" borderId="0" xfId="0" applyFont="1" applyFill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8" fillId="10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5" fillId="6" borderId="5" xfId="0" applyFont="1" applyFill="1" applyBorder="1" applyAlignment="1">
      <alignment horizontal="left" vertical="center" wrapText="1"/>
    </xf>
    <xf numFmtId="0" fontId="35" fillId="11" borderId="5" xfId="0" applyFont="1" applyFill="1" applyBorder="1" applyAlignment="1">
      <alignment horizontal="left" vertical="center" wrapText="1"/>
    </xf>
    <xf numFmtId="0" fontId="36" fillId="6" borderId="5" xfId="0" applyFont="1" applyFill="1" applyBorder="1" applyAlignment="1">
      <alignment horizontal="left" vertical="center" wrapText="1"/>
    </xf>
    <xf numFmtId="0" fontId="34" fillId="30" borderId="5" xfId="0" applyFont="1" applyFill="1" applyBorder="1" applyAlignment="1">
      <alignment horizontal="center" vertical="center" wrapText="1"/>
    </xf>
    <xf numFmtId="0" fontId="14" fillId="31" borderId="0" xfId="0" applyFont="1" applyFill="1" applyAlignment="1">
      <alignment horizontal="left" vertical="center"/>
    </xf>
    <xf numFmtId="0" fontId="23" fillId="6" borderId="5" xfId="0" applyFont="1" applyFill="1" applyBorder="1" applyAlignment="1">
      <alignment horizontal="left" vertical="center" wrapText="1"/>
    </xf>
    <xf numFmtId="0" fontId="14" fillId="23" borderId="0" xfId="0" applyFont="1" applyFill="1" applyAlignment="1">
      <alignment horizontal="left" vertical="center"/>
    </xf>
    <xf numFmtId="0" fontId="3" fillId="24" borderId="0" xfId="0" applyFont="1" applyFill="1" applyAlignment="1">
      <alignment horizontal="center" vertical="center"/>
    </xf>
    <xf numFmtId="0" fontId="14" fillId="25" borderId="0" xfId="0" applyFont="1" applyFill="1" applyAlignment="1">
      <alignment horizontal="left" vertical="center"/>
    </xf>
    <xf numFmtId="0" fontId="14" fillId="29" borderId="0" xfId="0" applyFont="1" applyFill="1" applyAlignment="1">
      <alignment horizontal="left" vertical="center"/>
    </xf>
    <xf numFmtId="0" fontId="33" fillId="30" borderId="5" xfId="0" applyFont="1" applyFill="1" applyBorder="1" applyAlignment="1">
      <alignment horizontal="center" vertical="center" wrapText="1"/>
    </xf>
    <xf numFmtId="0" fontId="20" fillId="16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0" fontId="14" fillId="17" borderId="0" xfId="0" applyFont="1" applyFill="1" applyAlignment="1">
      <alignment horizontal="left" vertical="center"/>
    </xf>
    <xf numFmtId="0" fontId="14" fillId="18" borderId="0" xfId="0" applyFont="1" applyFill="1" applyAlignment="1">
      <alignment horizontal="left" vertical="center"/>
    </xf>
    <xf numFmtId="0" fontId="26" fillId="17" borderId="2" xfId="0" applyFont="1" applyFill="1" applyBorder="1" applyAlignment="1">
      <alignment horizontal="left" vertical="center"/>
    </xf>
    <xf numFmtId="0" fontId="26" fillId="18" borderId="2" xfId="0" applyFont="1" applyFill="1" applyBorder="1" applyAlignment="1">
      <alignment horizontal="left" vertical="center"/>
    </xf>
    <xf numFmtId="0" fontId="53" fillId="44" borderId="0" xfId="0" applyFont="1" applyFill="1"/>
    <xf numFmtId="0" fontId="54" fillId="41" borderId="0" xfId="0" applyFont="1" applyFill="1"/>
    <xf numFmtId="0" fontId="51" fillId="0" borderId="0" xfId="0" applyFont="1" applyAlignment="1">
      <alignment horizontal="center" wrapText="1"/>
    </xf>
    <xf numFmtId="0" fontId="57" fillId="9" borderId="0" xfId="0" applyFont="1" applyFill="1"/>
    <xf numFmtId="0" fontId="58" fillId="13" borderId="0" xfId="0" applyFont="1" applyFill="1" applyAlignment="1">
      <alignment horizontal="left"/>
    </xf>
    <xf numFmtId="0" fontId="56" fillId="42" borderId="0" xfId="0" applyFont="1" applyFill="1"/>
    <xf numFmtId="0" fontId="54" fillId="43" borderId="0" xfId="0" applyFont="1" applyFill="1"/>
    <xf numFmtId="0" fontId="50" fillId="38" borderId="0" xfId="0" applyFont="1" applyFill="1" applyAlignment="1">
      <alignment horizontal="center"/>
    </xf>
    <xf numFmtId="0" fontId="53" fillId="40" borderId="0" xfId="0" applyFont="1" applyFill="1"/>
    <xf numFmtId="0" fontId="31" fillId="2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9" fontId="39" fillId="11" borderId="0" xfId="0" applyNumberFormat="1" applyFont="1" applyFill="1" applyAlignment="1">
      <alignment horizontal="center" vertical="center"/>
    </xf>
    <xf numFmtId="0" fontId="40" fillId="6" borderId="6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31" fillId="36" borderId="0" xfId="0" applyFont="1" applyFill="1" applyAlignment="1">
      <alignment horizontal="center" vertical="center"/>
    </xf>
    <xf numFmtId="0" fontId="31" fillId="34" borderId="0" xfId="0" applyFont="1" applyFill="1" applyAlignment="1">
      <alignment horizontal="center" vertical="center"/>
    </xf>
    <xf numFmtId="0" fontId="31" fillId="35" borderId="0" xfId="0" applyFont="1" applyFill="1" applyAlignment="1">
      <alignment horizontal="center" vertical="center"/>
    </xf>
    <xf numFmtId="0" fontId="31" fillId="33" borderId="0" xfId="0" applyFont="1" applyFill="1" applyAlignment="1">
      <alignment horizontal="center" vertical="center"/>
    </xf>
    <xf numFmtId="1" fontId="31" fillId="13" borderId="0" xfId="0" applyNumberFormat="1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60" fillId="3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center" vertical="center" wrapText="1"/>
    </xf>
    <xf numFmtId="0" fontId="26" fillId="34" borderId="0" xfId="0" applyFont="1" applyFill="1" applyAlignment="1">
      <alignment horizontal="center" vertical="center" wrapText="1"/>
    </xf>
    <xf numFmtId="0" fontId="26" fillId="35" borderId="0" xfId="0" applyFont="1" applyFill="1" applyAlignment="1">
      <alignment horizontal="center" vertical="center" wrapText="1"/>
    </xf>
    <xf numFmtId="0" fontId="26" fillId="33" borderId="0" xfId="0" applyFont="1" applyFill="1" applyAlignment="1">
      <alignment horizontal="center" vertical="center" wrapText="1"/>
    </xf>
    <xf numFmtId="0" fontId="26" fillId="1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 wrapText="1"/>
    </xf>
    <xf numFmtId="0" fontId="46" fillId="11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46" borderId="0" xfId="0" applyFont="1" applyFill="1" applyAlignment="1">
      <alignment horizontal="center" vertical="center"/>
    </xf>
    <xf numFmtId="0" fontId="31" fillId="45" borderId="0" xfId="0" applyFont="1" applyFill="1" applyAlignment="1">
      <alignment horizontal="center" vertical="center"/>
    </xf>
    <xf numFmtId="0" fontId="62" fillId="36" borderId="0" xfId="0" applyFont="1" applyFill="1" applyAlignment="1">
      <alignment horizontal="center" vertical="center"/>
    </xf>
    <xf numFmtId="0" fontId="14" fillId="36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0" fillId="0" borderId="7" xfId="0" applyBorder="1" applyAlignment="1">
      <alignment horizontal="center"/>
    </xf>
    <xf numFmtId="0" fontId="20" fillId="32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104" fillId="8" borderId="0" xfId="0" applyFont="1" applyFill="1" applyAlignment="1">
      <alignment horizontal="center" vertical="center"/>
    </xf>
    <xf numFmtId="0" fontId="1" fillId="3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sz val="10"/>
        <color rgb="FF7D5A00"/>
        <name val="Arial"/>
        <charset val="1"/>
      </font>
      <fill>
        <patternFill>
          <bgColor rgb="FFFFF3CD"/>
        </patternFill>
      </fill>
    </dxf>
    <dxf>
      <font>
        <sz val="10"/>
        <color rgb="FF8B0000"/>
        <name val="Arial"/>
        <charset val="1"/>
      </font>
      <fill>
        <patternFill>
          <bgColor rgb="FFFFDDDD"/>
        </patternFill>
      </fill>
    </dxf>
    <dxf>
      <font>
        <sz val="10"/>
        <color rgb="FF1A6B3A"/>
        <name val="Arial"/>
        <charset val="1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F0F0"/>
      <rgbColor rgb="FFF6FFED"/>
      <rgbColor rgb="FF0000FF"/>
      <rgbColor rgb="FFFFF3E0"/>
      <rgbColor rgb="FFE91E8C"/>
      <rgbColor rgb="FFE6FFFB"/>
      <rgbColor rgb="FF8D0417"/>
      <rgbColor rgb="FF1C5F20"/>
      <rgbColor rgb="FF2D1B5E"/>
      <rgbColor rgb="FF7C5400"/>
      <rgbColor rgb="FFF3EEFF"/>
      <rgbColor rgb="FF1B7A53"/>
      <rgbColor rgb="FFBDBDBD"/>
      <rgbColor rgb="FF389519"/>
      <rgbColor rgb="FFE3F2FD"/>
      <rgbColor rgb="FF722ED1"/>
      <rgbColor rgb="FFFFF9C4"/>
      <rgbColor rgb="FFE0F7FA"/>
      <rgbColor rgb="FF622697"/>
      <rgbColor rgb="FFE74C3C"/>
      <rgbColor rgb="FF1565C0"/>
      <rgbColor rgb="FFEDE7F6"/>
      <rgbColor rgb="FF045E65"/>
      <rgbColor rgb="FFFFEBEE"/>
      <rgbColor rgb="FFFFFDE7"/>
      <rgbColor rgb="FFEBF3FF"/>
      <rgbColor rgb="FFF9F0FF"/>
      <rgbColor rgb="FFF6FBF6"/>
      <rgbColor rgb="FF0897AF"/>
      <rgbColor rgb="FFFFFCEA"/>
      <rgbColor rgb="FFECF5EF"/>
      <rgbColor rgb="FFD6EEFC"/>
      <rgbColor rgb="FFD3F4E1"/>
      <rgbColor rgb="FFFFF3CD"/>
      <rgbColor rgb="FFB0D9F6"/>
      <rgbColor rgb="FFFFE8ED"/>
      <rgbColor rgb="FFE2EFDA"/>
      <rgbColor rgb="FFFFD8BE"/>
      <rgbColor rgb="FF1668C2"/>
      <rgbColor rgb="FFE8F4FD"/>
      <rgbColor rgb="FFE8F5E9"/>
      <rgbColor rgb="FFFFF2E8"/>
      <rgbColor rgb="FFBD9000"/>
      <rgbColor rgb="FFEF6301"/>
      <rgbColor rgb="FF5D5F61"/>
      <rgbColor rgb="FFA394A5"/>
      <rgbColor rgb="FF1A237E"/>
      <rgbColor rgb="FF27AE60"/>
      <rgbColor rgb="FF05506E"/>
      <rgbColor rgb="FF1A1A26"/>
      <rgbColor rgb="FFC92C23"/>
      <rgbColor rgb="FFD4380D"/>
      <rgbColor rgb="FF4D2990"/>
      <rgbColor rgb="FF3637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2ED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137880</xdr:colOff>
      <xdr:row>0</xdr:row>
      <xdr:rowOff>113760</xdr:rowOff>
    </xdr:from>
    <xdr:to>
      <xdr:col>10</xdr:col>
      <xdr:colOff>14400</xdr:colOff>
      <xdr:row>2</xdr:row>
      <xdr:rowOff>340920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371520" y="113760"/>
          <a:ext cx="863280" cy="855720"/>
        </a:xfrm>
        <a:prstGeom prst="rect">
          <a:avLst/>
        </a:prstGeom>
        <a:ln w="0">
          <a:noFill/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9"/>
  <sheetViews>
    <sheetView showGridLines="0" zoomScale="150" zoomScaleNormal="150" workbookViewId="0">
      <selection activeCell="F1" sqref="F1:H4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22" customWidth="1"/>
    <col min="4" max="4" width="45" customWidth="1"/>
    <col min="5" max="5" width="18" customWidth="1"/>
    <col min="6" max="6" width="3" customWidth="1"/>
  </cols>
  <sheetData>
    <row r="1" spans="2:8" ht="21.75" customHeight="1" x14ac:dyDescent="0.2">
      <c r="B1" s="250" t="s">
        <v>0</v>
      </c>
      <c r="C1" s="250"/>
      <c r="D1" s="250"/>
      <c r="E1" s="250"/>
      <c r="F1" s="251" t="e" vm="1">
        <v>#VALUE!</v>
      </c>
      <c r="G1" s="251"/>
      <c r="H1" s="251"/>
    </row>
    <row r="2" spans="2:8" ht="21.75" customHeight="1" x14ac:dyDescent="0.2">
      <c r="B2" s="250"/>
      <c r="C2" s="250"/>
      <c r="D2" s="250"/>
      <c r="E2" s="250"/>
      <c r="F2" s="251"/>
      <c r="G2" s="251"/>
      <c r="H2" s="251"/>
    </row>
    <row r="3" spans="2:8" ht="21.75" customHeight="1" x14ac:dyDescent="0.2">
      <c r="B3" s="250"/>
      <c r="C3" s="250"/>
      <c r="D3" s="250"/>
      <c r="E3" s="250"/>
      <c r="F3" s="251"/>
      <c r="G3" s="251"/>
      <c r="H3" s="251"/>
    </row>
    <row r="4" spans="2:8" ht="18" customHeight="1" x14ac:dyDescent="0.2">
      <c r="B4" s="252" t="s">
        <v>1</v>
      </c>
      <c r="C4" s="252"/>
      <c r="D4" s="252"/>
      <c r="E4" s="252"/>
      <c r="F4" s="251"/>
      <c r="G4" s="251"/>
      <c r="H4" s="251"/>
    </row>
    <row r="5" spans="2:8" ht="18" customHeight="1" x14ac:dyDescent="0.2"/>
    <row r="6" spans="2:8" ht="21.75" customHeight="1" x14ac:dyDescent="0.2">
      <c r="B6" s="253" t="s">
        <v>2</v>
      </c>
      <c r="C6" s="253"/>
      <c r="D6" s="253"/>
      <c r="E6" s="253"/>
    </row>
    <row r="7" spans="2:8" ht="21.75" customHeight="1" x14ac:dyDescent="0.2">
      <c r="B7" s="2" t="s">
        <v>3</v>
      </c>
      <c r="C7" s="3" t="s">
        <v>4</v>
      </c>
      <c r="D7" s="4" t="s">
        <v>5</v>
      </c>
    </row>
    <row r="8" spans="2:8" ht="21.75" customHeight="1" x14ac:dyDescent="0.2">
      <c r="B8" s="2" t="s">
        <v>6</v>
      </c>
      <c r="C8" s="5">
        <v>0.1</v>
      </c>
      <c r="D8" s="4" t="s">
        <v>7</v>
      </c>
    </row>
    <row r="9" spans="2:8" ht="21.75" customHeight="1" x14ac:dyDescent="0.2">
      <c r="B9" s="2" t="s">
        <v>8</v>
      </c>
      <c r="C9" s="3">
        <v>2025</v>
      </c>
      <c r="D9" s="4" t="s">
        <v>9</v>
      </c>
    </row>
    <row r="10" spans="2:8" ht="18" customHeight="1" x14ac:dyDescent="0.2">
      <c r="G10">
        <v>25</v>
      </c>
    </row>
    <row r="11" spans="2:8" ht="24" customHeight="1" x14ac:dyDescent="0.2">
      <c r="B11" s="254" t="s">
        <v>10</v>
      </c>
      <c r="C11" s="254"/>
      <c r="D11" s="254"/>
      <c r="E11" s="254"/>
      <c r="G11">
        <v>0.1</v>
      </c>
    </row>
    <row r="12" spans="2:8" ht="19.5" customHeight="1" x14ac:dyDescent="0.2">
      <c r="B12" s="6" t="s">
        <v>11</v>
      </c>
      <c r="C12" s="239" t="s">
        <v>12</v>
      </c>
      <c r="D12" s="239"/>
      <c r="E12" s="239"/>
      <c r="G12">
        <f>G10*G11</f>
        <v>2.5</v>
      </c>
    </row>
    <row r="13" spans="2:8" ht="18" customHeight="1" x14ac:dyDescent="0.2">
      <c r="C13" s="240" t="s">
        <v>13</v>
      </c>
      <c r="D13" s="240"/>
      <c r="E13" s="240"/>
    </row>
    <row r="14" spans="2:8" ht="15" customHeight="1" x14ac:dyDescent="0.2">
      <c r="B14" s="7"/>
      <c r="C14" s="7"/>
    </row>
    <row r="15" spans="2:8" ht="19.5" customHeight="1" x14ac:dyDescent="0.2">
      <c r="B15" s="8" t="s">
        <v>14</v>
      </c>
      <c r="C15" s="241" t="s">
        <v>15</v>
      </c>
      <c r="D15" s="241"/>
      <c r="E15" s="241"/>
    </row>
    <row r="16" spans="2:8" ht="18" customHeight="1" x14ac:dyDescent="0.2">
      <c r="C16" s="242" t="s">
        <v>16</v>
      </c>
      <c r="D16" s="242"/>
      <c r="E16" s="242"/>
    </row>
    <row r="17" spans="2:8" ht="15" customHeight="1" x14ac:dyDescent="0.2">
      <c r="B17" s="7"/>
      <c r="C17" s="7"/>
    </row>
    <row r="18" spans="2:8" ht="19.5" customHeight="1" x14ac:dyDescent="0.2">
      <c r="B18" s="9" t="s">
        <v>17</v>
      </c>
      <c r="C18" s="249" t="s">
        <v>18</v>
      </c>
      <c r="D18" s="249"/>
      <c r="E18" s="249"/>
    </row>
    <row r="19" spans="2:8" ht="18" customHeight="1" x14ac:dyDescent="0.2">
      <c r="C19" s="244" t="s">
        <v>19</v>
      </c>
      <c r="D19" s="244"/>
      <c r="E19" s="244"/>
    </row>
    <row r="20" spans="2:8" ht="15" customHeight="1" x14ac:dyDescent="0.2">
      <c r="B20" s="7"/>
      <c r="C20" s="7"/>
    </row>
    <row r="21" spans="2:8" ht="19.5" customHeight="1" x14ac:dyDescent="0.2">
      <c r="B21" s="10" t="s">
        <v>20</v>
      </c>
      <c r="C21" s="245" t="s">
        <v>21</v>
      </c>
      <c r="D21" s="245"/>
      <c r="E21" s="245"/>
    </row>
    <row r="22" spans="2:8" ht="18" customHeight="1" x14ac:dyDescent="0.2">
      <c r="C22" s="246" t="s">
        <v>22</v>
      </c>
      <c r="D22" s="246"/>
      <c r="E22" s="246"/>
    </row>
    <row r="23" spans="2:8" ht="15" customHeight="1" x14ac:dyDescent="0.2">
      <c r="B23" s="7"/>
      <c r="C23" s="7"/>
      <c r="H23" t="s">
        <v>23</v>
      </c>
    </row>
    <row r="24" spans="2:8" ht="19.5" customHeight="1" x14ac:dyDescent="0.2">
      <c r="B24" s="11" t="s">
        <v>24</v>
      </c>
      <c r="C24" s="247" t="s">
        <v>25</v>
      </c>
      <c r="D24" s="247"/>
      <c r="E24" s="247"/>
    </row>
    <row r="25" spans="2:8" ht="18" customHeight="1" x14ac:dyDescent="0.2">
      <c r="C25" s="248" t="s">
        <v>26</v>
      </c>
      <c r="D25" s="248"/>
      <c r="E25" s="248"/>
    </row>
    <row r="26" spans="2:8" ht="15" customHeight="1" x14ac:dyDescent="0.2">
      <c r="B26" s="7"/>
      <c r="C26" s="7"/>
    </row>
    <row r="27" spans="2:8" ht="19.5" customHeight="1" x14ac:dyDescent="0.2">
      <c r="B27" s="6" t="s">
        <v>27</v>
      </c>
      <c r="C27" s="239" t="s">
        <v>28</v>
      </c>
      <c r="D27" s="239"/>
      <c r="E27" s="239"/>
    </row>
    <row r="28" spans="2:8" ht="18" customHeight="1" x14ac:dyDescent="0.2">
      <c r="C28" s="240" t="s">
        <v>29</v>
      </c>
      <c r="D28" s="240"/>
      <c r="E28" s="240"/>
    </row>
    <row r="29" spans="2:8" ht="15" customHeight="1" x14ac:dyDescent="0.2">
      <c r="B29" s="7"/>
      <c r="C29" s="7"/>
    </row>
    <row r="30" spans="2:8" ht="19.5" customHeight="1" x14ac:dyDescent="0.2">
      <c r="B30" s="8" t="s">
        <v>30</v>
      </c>
      <c r="C30" s="241" t="s">
        <v>31</v>
      </c>
      <c r="D30" s="241"/>
      <c r="E30" s="241"/>
    </row>
    <row r="31" spans="2:8" ht="18" customHeight="1" x14ac:dyDescent="0.2">
      <c r="C31" s="242" t="s">
        <v>32</v>
      </c>
      <c r="D31" s="242"/>
      <c r="E31" s="242"/>
    </row>
    <row r="32" spans="2:8" ht="15" customHeight="1" x14ac:dyDescent="0.2">
      <c r="B32" s="7"/>
      <c r="C32" s="7"/>
    </row>
    <row r="33" spans="2:5" ht="18" customHeight="1" x14ac:dyDescent="0.2"/>
    <row r="34" spans="2:5" ht="21.75" customHeight="1" x14ac:dyDescent="0.2">
      <c r="B34" s="243" t="s">
        <v>33</v>
      </c>
      <c r="C34" s="243"/>
      <c r="D34" s="243"/>
      <c r="E34" s="243"/>
    </row>
    <row r="35" spans="2:5" ht="19.5" customHeight="1" x14ac:dyDescent="0.2">
      <c r="B35" s="13" t="s">
        <v>34</v>
      </c>
      <c r="C35" s="235" t="s">
        <v>35</v>
      </c>
      <c r="D35" s="235"/>
      <c r="E35" s="235"/>
    </row>
    <row r="36" spans="2:5" ht="19.5" customHeight="1" x14ac:dyDescent="0.2">
      <c r="B36" s="14" t="s">
        <v>36</v>
      </c>
      <c r="C36" s="236" t="s">
        <v>37</v>
      </c>
      <c r="D36" s="236"/>
      <c r="E36" s="236"/>
    </row>
    <row r="37" spans="2:5" ht="19.5" customHeight="1" x14ac:dyDescent="0.2">
      <c r="B37" s="15" t="s">
        <v>38</v>
      </c>
      <c r="C37" s="237" t="s">
        <v>39</v>
      </c>
      <c r="D37" s="237"/>
      <c r="E37" s="237"/>
    </row>
    <row r="38" spans="2:5" ht="19.5" customHeight="1" x14ac:dyDescent="0.2">
      <c r="B38" s="16" t="s">
        <v>40</v>
      </c>
      <c r="C38" s="238" t="s">
        <v>41</v>
      </c>
      <c r="D38" s="238"/>
      <c r="E38" s="238"/>
    </row>
    <row r="39" spans="2:5" ht="18" customHeight="1" x14ac:dyDescent="0.2"/>
    <row r="40" spans="2:5" ht="18" customHeight="1" x14ac:dyDescent="0.2"/>
    <row r="41" spans="2:5" ht="18" customHeight="1" x14ac:dyDescent="0.2"/>
    <row r="42" spans="2:5" ht="18" customHeight="1" x14ac:dyDescent="0.2"/>
    <row r="43" spans="2:5" ht="18" customHeight="1" x14ac:dyDescent="0.2"/>
    <row r="44" spans="2:5" ht="18" customHeight="1" x14ac:dyDescent="0.2"/>
    <row r="45" spans="2:5" ht="18" customHeight="1" x14ac:dyDescent="0.2"/>
    <row r="46" spans="2:5" ht="18" customHeight="1" x14ac:dyDescent="0.2"/>
    <row r="47" spans="2:5" ht="18" customHeight="1" x14ac:dyDescent="0.2"/>
    <row r="48" spans="2:5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</sheetData>
  <mergeCells count="24">
    <mergeCell ref="B1:E3"/>
    <mergeCell ref="F1:H4"/>
    <mergeCell ref="B4:E4"/>
    <mergeCell ref="B6:E6"/>
    <mergeCell ref="B11:E11"/>
    <mergeCell ref="C12:E12"/>
    <mergeCell ref="C13:E13"/>
    <mergeCell ref="C15:E15"/>
    <mergeCell ref="C16:E16"/>
    <mergeCell ref="C18:E18"/>
    <mergeCell ref="C19:E19"/>
    <mergeCell ref="C21:E21"/>
    <mergeCell ref="C22:E22"/>
    <mergeCell ref="C24:E24"/>
    <mergeCell ref="C25:E25"/>
    <mergeCell ref="C35:E35"/>
    <mergeCell ref="C36:E36"/>
    <mergeCell ref="C37:E37"/>
    <mergeCell ref="C38:E38"/>
    <mergeCell ref="C27:E27"/>
    <mergeCell ref="C28:E28"/>
    <mergeCell ref="C30:E30"/>
    <mergeCell ref="C31:E31"/>
    <mergeCell ref="B34:E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"/>
  <sheetViews>
    <sheetView zoomScale="212" zoomScaleNormal="212" workbookViewId="0">
      <selection activeCell="E27" sqref="E27"/>
    </sheetView>
  </sheetViews>
  <sheetFormatPr baseColWidth="10" defaultColWidth="8.6640625" defaultRowHeight="15" x14ac:dyDescent="0.2"/>
  <cols>
    <col min="1" max="1" width="2" customWidth="1"/>
    <col min="2" max="2" width="28" customWidth="1"/>
    <col min="3" max="5" width="14" customWidth="1"/>
    <col min="6" max="6" width="3" customWidth="1"/>
    <col min="7" max="7" width="28" customWidth="1"/>
    <col min="8" max="10" width="14" customWidth="1"/>
    <col min="11" max="11" width="2" customWidth="1"/>
  </cols>
  <sheetData>
    <row r="1" spans="1:11" ht="9.75" customHeight="1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9.75" customHeight="1" x14ac:dyDescent="0.2">
      <c r="A2" s="17"/>
      <c r="B2" s="266" t="s">
        <v>42</v>
      </c>
      <c r="C2" s="266"/>
      <c r="D2" s="266"/>
      <c r="E2" s="266"/>
      <c r="F2" s="266"/>
      <c r="G2" s="266"/>
      <c r="H2" s="266"/>
      <c r="I2" s="266"/>
      <c r="J2" s="266"/>
      <c r="K2" s="17"/>
    </row>
    <row r="3" spans="1:11" ht="27.75" customHeight="1" x14ac:dyDescent="0.2">
      <c r="A3" s="17"/>
      <c r="B3" s="267" t="s">
        <v>43</v>
      </c>
      <c r="C3" s="267"/>
      <c r="D3" s="267"/>
      <c r="E3" s="267"/>
      <c r="F3" s="267"/>
      <c r="G3" s="267"/>
      <c r="H3" s="267"/>
      <c r="I3" s="267"/>
      <c r="J3" s="267"/>
      <c r="K3" s="17"/>
    </row>
    <row r="4" spans="1:11" ht="18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ht="21.75" customHeight="1" x14ac:dyDescent="0.2">
      <c r="A5" s="17"/>
      <c r="B5" s="268" t="s">
        <v>44</v>
      </c>
      <c r="C5" s="268"/>
      <c r="D5" s="268"/>
      <c r="E5" s="268"/>
      <c r="F5" s="17"/>
      <c r="G5" s="269" t="s">
        <v>45</v>
      </c>
      <c r="H5" s="269"/>
      <c r="I5" s="269"/>
      <c r="J5" s="269"/>
      <c r="K5" s="17"/>
    </row>
    <row r="6" spans="1:11" ht="18" customHeight="1" x14ac:dyDescent="0.2">
      <c r="A6" s="17"/>
      <c r="B6" s="18" t="s">
        <v>46</v>
      </c>
      <c r="C6" s="18" t="s">
        <v>47</v>
      </c>
      <c r="D6" s="18" t="s">
        <v>48</v>
      </c>
      <c r="E6" s="18" t="s">
        <v>49</v>
      </c>
      <c r="F6" s="17"/>
      <c r="G6" s="19" t="s">
        <v>50</v>
      </c>
      <c r="H6" s="19" t="s">
        <v>51</v>
      </c>
      <c r="I6" s="19"/>
      <c r="J6" s="19" t="s">
        <v>52</v>
      </c>
      <c r="K6" s="17"/>
    </row>
    <row r="7" spans="1:11" ht="18.75" customHeight="1" x14ac:dyDescent="0.2">
      <c r="A7" s="17"/>
      <c r="B7" s="20" t="s">
        <v>53</v>
      </c>
      <c r="C7" s="21">
        <v>180</v>
      </c>
      <c r="D7" s="22">
        <v>1000</v>
      </c>
      <c r="E7" s="23">
        <f t="shared" ref="E7:E16" si="0">IF(AND(C7&lt;&gt;"",D7&lt;&gt;"",D7&lt;&gt;0),C7/D7,"")</f>
        <v>0.18</v>
      </c>
      <c r="F7" s="17"/>
      <c r="G7" s="20" t="s">
        <v>54</v>
      </c>
      <c r="H7" s="21">
        <v>25</v>
      </c>
      <c r="I7" s="22"/>
      <c r="J7" s="24">
        <f t="shared" ref="J7:J14" si="1">H7</f>
        <v>25</v>
      </c>
      <c r="K7" s="17"/>
    </row>
    <row r="8" spans="1:11" ht="18.75" customHeight="1" x14ac:dyDescent="0.2">
      <c r="A8" s="17"/>
      <c r="B8" s="20" t="s">
        <v>55</v>
      </c>
      <c r="C8" s="21">
        <v>120</v>
      </c>
      <c r="D8" s="22">
        <v>100</v>
      </c>
      <c r="E8" s="23">
        <f t="shared" si="0"/>
        <v>1.2</v>
      </c>
      <c r="F8" s="17"/>
      <c r="G8" s="20" t="s">
        <v>56</v>
      </c>
      <c r="H8" s="21">
        <v>25</v>
      </c>
      <c r="I8" s="22"/>
      <c r="J8" s="24">
        <f t="shared" si="1"/>
        <v>25</v>
      </c>
      <c r="K8" s="17"/>
    </row>
    <row r="9" spans="1:11" ht="18.75" customHeight="1" x14ac:dyDescent="0.2">
      <c r="A9" s="17"/>
      <c r="B9" s="20" t="s">
        <v>57</v>
      </c>
      <c r="C9" s="21">
        <v>5</v>
      </c>
      <c r="D9" s="22">
        <v>50</v>
      </c>
      <c r="E9" s="23">
        <f t="shared" si="0"/>
        <v>0.1</v>
      </c>
      <c r="F9" s="17"/>
      <c r="G9" s="20" t="s">
        <v>58</v>
      </c>
      <c r="H9" s="21">
        <v>100</v>
      </c>
      <c r="I9" s="22"/>
      <c r="J9" s="24">
        <f t="shared" si="1"/>
        <v>100</v>
      </c>
      <c r="K9" s="17"/>
    </row>
    <row r="10" spans="1:11" ht="18.75" customHeight="1" x14ac:dyDescent="0.2">
      <c r="A10" s="17"/>
      <c r="B10" s="20" t="s">
        <v>59</v>
      </c>
      <c r="C10" s="21">
        <v>18</v>
      </c>
      <c r="D10" s="22">
        <v>100</v>
      </c>
      <c r="E10" s="23">
        <f t="shared" si="0"/>
        <v>0.18</v>
      </c>
      <c r="F10" s="17"/>
      <c r="G10" s="20" t="s">
        <v>60</v>
      </c>
      <c r="H10" s="21">
        <v>52.78</v>
      </c>
      <c r="I10" s="22"/>
      <c r="J10" s="24">
        <f t="shared" si="1"/>
        <v>52.78</v>
      </c>
      <c r="K10" s="17"/>
    </row>
    <row r="11" spans="1:11" ht="18.75" customHeight="1" x14ac:dyDescent="0.2">
      <c r="A11" s="17"/>
      <c r="B11" s="20" t="s">
        <v>61</v>
      </c>
      <c r="C11" s="21">
        <v>35</v>
      </c>
      <c r="D11" s="22">
        <v>1000</v>
      </c>
      <c r="E11" s="23">
        <f t="shared" si="0"/>
        <v>3.5000000000000003E-2</v>
      </c>
      <c r="F11" s="17"/>
      <c r="G11" s="20" t="s">
        <v>62</v>
      </c>
      <c r="H11" s="21">
        <v>100</v>
      </c>
      <c r="I11" s="22"/>
      <c r="J11" s="24">
        <f t="shared" si="1"/>
        <v>100</v>
      </c>
      <c r="K11" s="17"/>
    </row>
    <row r="12" spans="1:11" ht="18.75" customHeight="1" x14ac:dyDescent="0.2">
      <c r="A12" s="17"/>
      <c r="B12" s="20" t="s">
        <v>63</v>
      </c>
      <c r="C12" s="21">
        <v>2</v>
      </c>
      <c r="D12" s="22">
        <v>12</v>
      </c>
      <c r="E12" s="23">
        <f t="shared" si="0"/>
        <v>0.16666666666666666</v>
      </c>
      <c r="F12" s="17"/>
      <c r="G12" s="20" t="s">
        <v>64</v>
      </c>
      <c r="H12" s="21">
        <v>200</v>
      </c>
      <c r="I12" s="22"/>
      <c r="J12" s="24">
        <f t="shared" si="1"/>
        <v>200</v>
      </c>
      <c r="K12" s="17"/>
    </row>
    <row r="13" spans="1:11" ht="18.75" customHeight="1" x14ac:dyDescent="0.2">
      <c r="A13" s="17"/>
      <c r="B13" s="20"/>
      <c r="C13" s="21"/>
      <c r="D13" s="22"/>
      <c r="E13" s="23" t="str">
        <f t="shared" si="0"/>
        <v/>
      </c>
      <c r="F13" s="17"/>
      <c r="G13" s="20" t="s">
        <v>65</v>
      </c>
      <c r="H13" s="21">
        <v>50</v>
      </c>
      <c r="I13" s="22"/>
      <c r="J13" s="24">
        <f t="shared" si="1"/>
        <v>50</v>
      </c>
      <c r="K13" s="17"/>
    </row>
    <row r="14" spans="1:11" ht="18.75" customHeight="1" x14ac:dyDescent="0.2">
      <c r="A14" s="17"/>
      <c r="B14" s="20"/>
      <c r="C14" s="21"/>
      <c r="D14" s="22"/>
      <c r="E14" s="23" t="str">
        <f t="shared" si="0"/>
        <v/>
      </c>
      <c r="F14" s="17"/>
      <c r="G14" s="20" t="s">
        <v>66</v>
      </c>
      <c r="H14" s="21">
        <v>30</v>
      </c>
      <c r="I14" s="22"/>
      <c r="J14" s="24">
        <f t="shared" si="1"/>
        <v>30</v>
      </c>
      <c r="K14" s="17"/>
    </row>
    <row r="15" spans="1:11" ht="18.75" customHeight="1" x14ac:dyDescent="0.2">
      <c r="A15" s="17"/>
      <c r="B15" s="20"/>
      <c r="C15" s="21"/>
      <c r="D15" s="22"/>
      <c r="E15" s="23" t="str">
        <f t="shared" si="0"/>
        <v/>
      </c>
      <c r="F15" s="17"/>
      <c r="G15" s="20" t="s">
        <v>67</v>
      </c>
      <c r="H15" s="21">
        <v>2</v>
      </c>
      <c r="I15" s="22">
        <v>200</v>
      </c>
      <c r="J15" s="24">
        <f>IF(AND(H15&lt;&gt;"",I15&lt;&gt;"",I15&lt;&gt;0),H15/I15,"")</f>
        <v>0.01</v>
      </c>
      <c r="K15" s="17"/>
    </row>
    <row r="16" spans="1:11" ht="18.75" customHeight="1" x14ac:dyDescent="0.2">
      <c r="A16" s="17"/>
      <c r="B16" s="20"/>
      <c r="C16" s="21"/>
      <c r="D16" s="22"/>
      <c r="E16" s="23" t="str">
        <f t="shared" si="0"/>
        <v/>
      </c>
      <c r="F16" s="17"/>
      <c r="G16" s="20" t="s">
        <v>68</v>
      </c>
      <c r="H16" s="21">
        <v>2</v>
      </c>
      <c r="I16" s="22">
        <v>100</v>
      </c>
      <c r="J16" s="24">
        <f>IF(AND(H16&lt;&gt;"",I16&lt;&gt;"",I16&lt;&gt;0),H16/I16,"")</f>
        <v>0.02</v>
      </c>
      <c r="K16" s="17"/>
    </row>
    <row r="17" spans="1:11" ht="7.5" customHeight="1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18" customHeight="1" x14ac:dyDescent="0.2">
      <c r="A18" s="17"/>
      <c r="B18" s="270" t="s">
        <v>69</v>
      </c>
      <c r="C18" s="270"/>
      <c r="D18" s="270"/>
      <c r="E18" s="25">
        <f>SUM(E7:E16)</f>
        <v>1.8616666666666666</v>
      </c>
      <c r="F18" s="17"/>
      <c r="G18" s="271" t="s">
        <v>70</v>
      </c>
      <c r="H18" s="271"/>
      <c r="I18" s="271"/>
      <c r="J18" s="26">
        <f>SUM(J7:J16)</f>
        <v>582.80999999999995</v>
      </c>
      <c r="K18" s="17"/>
    </row>
    <row r="19" spans="1:11" ht="18" customHeight="1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 ht="7.5" customHeight="1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 ht="21.75" customHeight="1" x14ac:dyDescent="0.2">
      <c r="A21" s="17"/>
      <c r="B21" s="261" t="s">
        <v>71</v>
      </c>
      <c r="C21" s="261"/>
      <c r="D21" s="261"/>
      <c r="E21" s="261"/>
      <c r="F21" s="261"/>
      <c r="G21" s="261"/>
      <c r="H21" s="261"/>
      <c r="I21" s="261"/>
      <c r="J21" s="261"/>
      <c r="K21" s="17"/>
    </row>
    <row r="22" spans="1:11" ht="21.75" customHeight="1" x14ac:dyDescent="0.2">
      <c r="A22" s="17"/>
      <c r="B22" s="27" t="s">
        <v>72</v>
      </c>
      <c r="C22" s="28">
        <v>300</v>
      </c>
      <c r="D22" s="4" t="s">
        <v>73</v>
      </c>
      <c r="E22" s="17"/>
      <c r="F22" s="17"/>
      <c r="G22" s="17"/>
      <c r="I22" s="17"/>
      <c r="J22" s="17"/>
      <c r="K22" s="17"/>
    </row>
    <row r="23" spans="1:11" ht="7.5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 ht="7.5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8" customHeight="1" x14ac:dyDescent="0.2">
      <c r="A25" s="17"/>
      <c r="B25" s="262" t="s">
        <v>74</v>
      </c>
      <c r="C25" s="262"/>
      <c r="D25" s="262"/>
      <c r="E25" s="262"/>
      <c r="F25" s="262"/>
      <c r="G25" s="262"/>
      <c r="H25" s="262"/>
      <c r="I25" s="262"/>
      <c r="J25" s="262"/>
      <c r="K25" s="17"/>
    </row>
    <row r="26" spans="1:11" ht="30" customHeight="1" x14ac:dyDescent="0.2">
      <c r="A26" s="17"/>
      <c r="B26" s="30" t="s">
        <v>75</v>
      </c>
      <c r="C26" s="17"/>
      <c r="D26" s="17"/>
      <c r="E26" s="29">
        <f>(E18+J18)/C22</f>
        <v>1.9489055555555554</v>
      </c>
      <c r="F26" s="17"/>
      <c r="G26" s="17"/>
      <c r="H26" s="17"/>
      <c r="I26" s="17"/>
      <c r="J26" s="17"/>
      <c r="K26" s="17"/>
    </row>
    <row r="27" spans="1:11" ht="18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 ht="7.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spans="1:11" ht="21.75" customHeight="1" x14ac:dyDescent="0.2">
      <c r="B29" s="263" t="s">
        <v>76</v>
      </c>
      <c r="C29" s="263"/>
      <c r="D29" s="263"/>
      <c r="E29" s="263"/>
      <c r="F29" s="263"/>
      <c r="G29" s="263"/>
      <c r="H29" s="263"/>
      <c r="I29" s="263"/>
      <c r="J29" s="263"/>
    </row>
    <row r="30" spans="1:11" ht="18.75" customHeight="1" x14ac:dyDescent="0.2">
      <c r="B30" s="31" t="s">
        <v>77</v>
      </c>
      <c r="E30" s="32" t="s">
        <v>78</v>
      </c>
      <c r="G30" s="31" t="s">
        <v>79</v>
      </c>
    </row>
    <row r="31" spans="1:11" ht="18.75" customHeight="1" x14ac:dyDescent="0.2">
      <c r="B31" s="31" t="s">
        <v>80</v>
      </c>
      <c r="E31" s="32" t="s">
        <v>81</v>
      </c>
      <c r="G31" s="31" t="s">
        <v>82</v>
      </c>
    </row>
    <row r="32" spans="1:11" ht="18.75" customHeight="1" x14ac:dyDescent="0.2">
      <c r="B32" s="31" t="s">
        <v>83</v>
      </c>
      <c r="E32" s="32" t="s">
        <v>84</v>
      </c>
      <c r="G32" s="31" t="s">
        <v>85</v>
      </c>
    </row>
    <row r="33" spans="2:10" ht="18.75" customHeight="1" x14ac:dyDescent="0.2">
      <c r="B33" s="33" t="s">
        <v>86</v>
      </c>
      <c r="E33" s="34"/>
      <c r="G33" s="33" t="s">
        <v>87</v>
      </c>
    </row>
    <row r="34" spans="2:10" ht="18.75" customHeight="1" x14ac:dyDescent="0.2">
      <c r="B34" s="31" t="s">
        <v>88</v>
      </c>
      <c r="E34" s="32" t="s">
        <v>89</v>
      </c>
      <c r="G34" s="31" t="s">
        <v>90</v>
      </c>
    </row>
    <row r="35" spans="2:10" ht="18.75" customHeight="1" x14ac:dyDescent="0.2">
      <c r="B35" s="35" t="s">
        <v>91</v>
      </c>
      <c r="E35" s="36" t="s">
        <v>92</v>
      </c>
      <c r="G35" s="37">
        <v>3.94</v>
      </c>
    </row>
    <row r="36" spans="2:10" ht="18" customHeight="1" x14ac:dyDescent="0.2">
      <c r="G36" s="38"/>
    </row>
    <row r="37" spans="2:10" ht="7.5" customHeight="1" x14ac:dyDescent="0.2"/>
    <row r="38" spans="2:10" ht="21.75" customHeight="1" x14ac:dyDescent="0.2">
      <c r="B38" s="264" t="s">
        <v>93</v>
      </c>
      <c r="C38" s="264"/>
      <c r="D38" s="264"/>
      <c r="E38" s="264"/>
      <c r="F38" s="264"/>
      <c r="G38" s="264"/>
      <c r="H38" s="264"/>
      <c r="I38" s="264"/>
      <c r="J38" s="264"/>
    </row>
    <row r="39" spans="2:10" ht="21.75" customHeight="1" x14ac:dyDescent="0.2">
      <c r="B39" s="265" t="s">
        <v>94</v>
      </c>
      <c r="C39" s="265"/>
      <c r="D39" s="265"/>
    </row>
    <row r="40" spans="2:10" ht="21.75" customHeight="1" x14ac:dyDescent="0.2">
      <c r="B40" s="258" t="s">
        <v>95</v>
      </c>
      <c r="C40" s="258"/>
      <c r="D40" s="258"/>
    </row>
    <row r="41" spans="2:10" ht="33.75" customHeight="1" x14ac:dyDescent="0.2"/>
    <row r="42" spans="2:10" ht="7.5" customHeight="1" x14ac:dyDescent="0.2"/>
    <row r="43" spans="2:10" ht="9.75" customHeight="1" x14ac:dyDescent="0.2">
      <c r="B43" s="259" t="s">
        <v>96</v>
      </c>
      <c r="C43" s="259"/>
      <c r="D43" s="259"/>
      <c r="E43" s="259"/>
      <c r="F43" s="259"/>
      <c r="G43" s="259"/>
      <c r="H43" s="259"/>
      <c r="I43" s="259"/>
      <c r="J43" s="259"/>
    </row>
    <row r="44" spans="2:10" ht="19.5" customHeight="1" x14ac:dyDescent="0.2">
      <c r="B44" s="256" t="s">
        <v>97</v>
      </c>
      <c r="C44" s="256"/>
      <c r="D44" s="256"/>
    </row>
    <row r="45" spans="2:10" ht="19.5" customHeight="1" x14ac:dyDescent="0.2">
      <c r="B45" s="260" t="s">
        <v>98</v>
      </c>
      <c r="C45" s="260"/>
      <c r="D45" s="260"/>
    </row>
    <row r="46" spans="2:10" ht="19.5" customHeight="1" x14ac:dyDescent="0.2">
      <c r="B46" s="256" t="s">
        <v>99</v>
      </c>
      <c r="C46" s="256"/>
      <c r="D46" s="256"/>
    </row>
    <row r="47" spans="2:10" ht="19.5" customHeight="1" x14ac:dyDescent="0.2">
      <c r="B47" s="255" t="s">
        <v>100</v>
      </c>
      <c r="C47" s="255"/>
      <c r="D47" s="255"/>
    </row>
    <row r="48" spans="2:10" ht="19.5" customHeight="1" x14ac:dyDescent="0.2">
      <c r="B48" s="256" t="s">
        <v>101</v>
      </c>
      <c r="C48" s="256"/>
      <c r="D48" s="256"/>
    </row>
    <row r="49" spans="2:9" ht="19.5" customHeight="1" x14ac:dyDescent="0.2">
      <c r="B49" s="257" t="s">
        <v>102</v>
      </c>
      <c r="C49" s="257"/>
      <c r="D49" s="257"/>
    </row>
    <row r="50" spans="2:9" ht="18" customHeight="1" x14ac:dyDescent="0.2"/>
    <row r="51" spans="2:9" ht="18" customHeight="1" x14ac:dyDescent="0.2">
      <c r="B51" s="231" t="e">
        <f>#VALUE!</f>
        <v>#VALUE!</v>
      </c>
      <c r="C51" s="231"/>
      <c r="D51" s="231"/>
      <c r="E51" s="231"/>
      <c r="F51" s="231"/>
      <c r="G51" s="231"/>
      <c r="H51" s="231"/>
      <c r="I51" s="231"/>
    </row>
    <row r="52" spans="2:9" ht="9.75" customHeight="1" x14ac:dyDescent="0.2">
      <c r="B52" s="231"/>
      <c r="C52" s="231"/>
      <c r="D52" s="231"/>
      <c r="E52" s="231"/>
      <c r="F52" s="231"/>
      <c r="G52" s="231"/>
      <c r="H52" s="231"/>
      <c r="I52" s="231"/>
    </row>
    <row r="53" spans="2:9" ht="31.5" customHeight="1" x14ac:dyDescent="0.2">
      <c r="B53" s="231"/>
      <c r="C53" s="231"/>
      <c r="D53" s="231"/>
      <c r="E53" s="231"/>
      <c r="F53" s="231"/>
      <c r="G53" s="231"/>
      <c r="H53" s="231"/>
      <c r="I53" s="231"/>
    </row>
    <row r="54" spans="2:9" ht="18" customHeight="1" x14ac:dyDescent="0.2">
      <c r="B54" s="231"/>
      <c r="C54" s="231"/>
      <c r="D54" s="231"/>
      <c r="E54" s="231"/>
      <c r="F54" s="231"/>
      <c r="G54" s="231"/>
      <c r="H54" s="231"/>
      <c r="I54" s="231"/>
    </row>
    <row r="55" spans="2:9" ht="18" customHeight="1" x14ac:dyDescent="0.2"/>
    <row r="56" spans="2:9" ht="18" customHeight="1" x14ac:dyDescent="0.2"/>
    <row r="57" spans="2:9" ht="18" customHeight="1" x14ac:dyDescent="0.2"/>
    <row r="58" spans="2:9" ht="18" customHeight="1" x14ac:dyDescent="0.2"/>
    <row r="59" spans="2:9" ht="18" customHeight="1" x14ac:dyDescent="0.2"/>
    <row r="60" spans="2:9" ht="18" customHeight="1" x14ac:dyDescent="0.2"/>
    <row r="61" spans="2:9" ht="18" customHeight="1" x14ac:dyDescent="0.2"/>
    <row r="62" spans="2:9" ht="18" customHeight="1" x14ac:dyDescent="0.2"/>
    <row r="63" spans="2:9" ht="18" customHeight="1" x14ac:dyDescent="0.2"/>
    <row r="64" spans="2:9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</sheetData>
  <mergeCells count="20">
    <mergeCell ref="B2:J2"/>
    <mergeCell ref="B3:J3"/>
    <mergeCell ref="B5:E5"/>
    <mergeCell ref="G5:J5"/>
    <mergeCell ref="B18:D18"/>
    <mergeCell ref="G18:I18"/>
    <mergeCell ref="B21:J21"/>
    <mergeCell ref="B25:J25"/>
    <mergeCell ref="B29:J29"/>
    <mergeCell ref="B38:J38"/>
    <mergeCell ref="B39:D39"/>
    <mergeCell ref="B47:D47"/>
    <mergeCell ref="B48:D48"/>
    <mergeCell ref="B49:D49"/>
    <mergeCell ref="B51:I54"/>
    <mergeCell ref="B40:D40"/>
    <mergeCell ref="B43:J43"/>
    <mergeCell ref="B44:D44"/>
    <mergeCell ref="B45:D45"/>
    <mergeCell ref="B46:D4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90"/>
  <sheetViews>
    <sheetView showGridLines="0" zoomScale="113" zoomScaleNormal="113" workbookViewId="0">
      <pane xSplit="2" ySplit="5" topLeftCell="C65" activePane="bottomRight" state="frozen"/>
      <selection pane="topRight" activeCell="C1" sqref="C1"/>
      <selection pane="bottomLeft" activeCell="A58" sqref="A58"/>
      <selection pane="bottomRight" activeCell="B83" sqref="B83:O90"/>
    </sheetView>
  </sheetViews>
  <sheetFormatPr baseColWidth="10" defaultColWidth="8.6640625" defaultRowHeight="15" x14ac:dyDescent="0.2"/>
  <cols>
    <col min="1" max="1" width="3" customWidth="1"/>
    <col min="2" max="2" width="25.33203125" customWidth="1"/>
    <col min="3" max="3" width="14" customWidth="1"/>
    <col min="4" max="4" width="32" customWidth="1"/>
    <col min="5" max="5" width="18" customWidth="1"/>
    <col min="6" max="6" width="17" customWidth="1"/>
    <col min="7" max="7" width="15.1640625" customWidth="1"/>
    <col min="8" max="8" width="14.5" customWidth="1"/>
    <col min="9" max="9" width="16" style="39" customWidth="1"/>
    <col min="10" max="10" width="12" hidden="1" customWidth="1"/>
    <col min="11" max="11" width="2.5" customWidth="1"/>
    <col min="12" max="12" width="15.33203125" customWidth="1"/>
    <col min="13" max="13" width="11.6640625" customWidth="1"/>
    <col min="14" max="14" width="12" customWidth="1"/>
    <col min="15" max="15" width="14" customWidth="1"/>
  </cols>
  <sheetData>
    <row r="1" spans="2:15" ht="30" customHeight="1" x14ac:dyDescent="0.2">
      <c r="B1" s="281" t="s">
        <v>103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</row>
    <row r="2" spans="2:15" ht="18" customHeight="1" x14ac:dyDescent="0.2">
      <c r="B2" s="282" t="s">
        <v>104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</row>
    <row r="3" spans="2:15" ht="21.75" customHeight="1" x14ac:dyDescent="0.2">
      <c r="B3" s="40" t="s">
        <v>105</v>
      </c>
      <c r="C3" s="283">
        <f>'🏠 INICIO'!C8</f>
        <v>0.1</v>
      </c>
      <c r="D3" s="283"/>
      <c r="E3" s="41" t="s">
        <v>106</v>
      </c>
    </row>
    <row r="4" spans="2:15" ht="18" customHeight="1" x14ac:dyDescent="0.2">
      <c r="B4" s="284" t="s">
        <v>107</v>
      </c>
      <c r="C4" s="284"/>
      <c r="D4" s="284"/>
      <c r="E4" s="42" t="s">
        <v>108</v>
      </c>
      <c r="H4" s="43" t="s">
        <v>109</v>
      </c>
      <c r="L4" s="44" t="s">
        <v>110</v>
      </c>
    </row>
    <row r="5" spans="2:15" ht="30" customHeight="1" x14ac:dyDescent="0.2">
      <c r="B5" s="45" t="s">
        <v>111</v>
      </c>
      <c r="C5" s="45" t="s">
        <v>112</v>
      </c>
      <c r="D5" s="45" t="s">
        <v>113</v>
      </c>
      <c r="E5" s="46" t="s">
        <v>114</v>
      </c>
      <c r="F5" s="46" t="s">
        <v>115</v>
      </c>
      <c r="G5" s="46" t="s">
        <v>116</v>
      </c>
      <c r="H5" s="47" t="s">
        <v>117</v>
      </c>
      <c r="I5" s="48" t="s">
        <v>118</v>
      </c>
      <c r="J5" s="46" t="s">
        <v>119</v>
      </c>
      <c r="K5" s="49"/>
      <c r="L5" s="50" t="s">
        <v>120</v>
      </c>
      <c r="M5" s="47" t="s">
        <v>121</v>
      </c>
      <c r="N5" s="47" t="s">
        <v>122</v>
      </c>
      <c r="O5" s="50" t="s">
        <v>123</v>
      </c>
    </row>
    <row r="6" spans="2:15" ht="18" customHeight="1" x14ac:dyDescent="0.2">
      <c r="B6" s="51">
        <v>1</v>
      </c>
      <c r="C6" s="52" t="s">
        <v>124</v>
      </c>
      <c r="D6" s="53" t="s">
        <v>125</v>
      </c>
      <c r="E6" s="54">
        <v>21</v>
      </c>
      <c r="F6" s="55" t="e">
        <f>'COSTO UNITARIO'!#REF!</f>
        <v>#REF!</v>
      </c>
      <c r="G6" s="56" t="e">
        <f t="shared" ref="G6:G25" si="0">E6+F6</f>
        <v>#REF!</v>
      </c>
      <c r="H6" s="57">
        <v>0.2</v>
      </c>
      <c r="I6" s="58" t="e">
        <f t="shared" ref="I6:I37" si="1">IF(G6&lt;&gt;"",G6/(1-H6)/(1-M6),"")</f>
        <v>#REF!</v>
      </c>
      <c r="J6" s="59" t="e">
        <f t="shared" ref="J6:J37" si="2">IF(G6&lt;&gt;"",G6,"")</f>
        <v>#REF!</v>
      </c>
      <c r="K6" s="60"/>
      <c r="L6" s="61" t="e">
        <f t="shared" ref="L6:L37" si="3">IF(I6&lt;&gt;"",(G6/(1-H6))-G6,"")</f>
        <v>#REF!</v>
      </c>
      <c r="M6" s="62">
        <v>0.1</v>
      </c>
      <c r="N6" s="63" t="e">
        <f t="shared" ref="N6:N37" si="4">IF(I6&lt;&gt;"",I6-(G6/(1-H6)),"")</f>
        <v>#REF!</v>
      </c>
      <c r="O6" s="61" t="e">
        <f t="shared" ref="O6:O37" si="5">IF(I6&lt;&gt;"",L6,"")</f>
        <v>#REF!</v>
      </c>
    </row>
    <row r="7" spans="2:15" ht="18" customHeight="1" x14ac:dyDescent="0.2">
      <c r="B7" s="64">
        <v>2</v>
      </c>
      <c r="C7" s="65" t="s">
        <v>126</v>
      </c>
      <c r="D7" s="66" t="s">
        <v>127</v>
      </c>
      <c r="E7" s="54">
        <v>15</v>
      </c>
      <c r="F7" s="55" t="e">
        <f>'COSTO UNITARIO'!#REF!</f>
        <v>#REF!</v>
      </c>
      <c r="G7" s="56" t="e">
        <f t="shared" si="0"/>
        <v>#REF!</v>
      </c>
      <c r="H7" s="57">
        <v>0.2</v>
      </c>
      <c r="I7" s="58" t="e">
        <f t="shared" si="1"/>
        <v>#REF!</v>
      </c>
      <c r="J7" s="59" t="e">
        <f t="shared" si="2"/>
        <v>#REF!</v>
      </c>
      <c r="K7" s="60"/>
      <c r="L7" s="61" t="e">
        <f t="shared" si="3"/>
        <v>#REF!</v>
      </c>
      <c r="M7" s="62">
        <v>0.1</v>
      </c>
      <c r="N7" s="63" t="e">
        <f t="shared" si="4"/>
        <v>#REF!</v>
      </c>
      <c r="O7" s="61" t="e">
        <f t="shared" si="5"/>
        <v>#REF!</v>
      </c>
    </row>
    <row r="8" spans="2:15" ht="18" customHeight="1" x14ac:dyDescent="0.2">
      <c r="B8" s="51">
        <v>3</v>
      </c>
      <c r="C8" s="52" t="s">
        <v>128</v>
      </c>
      <c r="D8" s="53" t="s">
        <v>129</v>
      </c>
      <c r="E8" s="54"/>
      <c r="F8" s="55" t="e">
        <f>'COSTO UNITARIO'!#REF!</f>
        <v>#REF!</v>
      </c>
      <c r="G8" s="56" t="e">
        <f t="shared" si="0"/>
        <v>#REF!</v>
      </c>
      <c r="H8" s="57">
        <v>0.2</v>
      </c>
      <c r="I8" s="58" t="e">
        <f t="shared" si="1"/>
        <v>#REF!</v>
      </c>
      <c r="J8" s="59" t="e">
        <f t="shared" si="2"/>
        <v>#REF!</v>
      </c>
      <c r="K8" s="60"/>
      <c r="L8" s="61" t="e">
        <f t="shared" si="3"/>
        <v>#REF!</v>
      </c>
      <c r="M8" s="62">
        <f>'🏠 INICIO'!C8</f>
        <v>0.1</v>
      </c>
      <c r="N8" s="63" t="e">
        <f t="shared" si="4"/>
        <v>#REF!</v>
      </c>
      <c r="O8" s="61" t="e">
        <f t="shared" si="5"/>
        <v>#REF!</v>
      </c>
    </row>
    <row r="9" spans="2:15" ht="18" customHeight="1" x14ac:dyDescent="0.2">
      <c r="B9" s="64">
        <v>4</v>
      </c>
      <c r="C9" s="65" t="s">
        <v>124</v>
      </c>
      <c r="D9" s="66" t="s">
        <v>130</v>
      </c>
      <c r="E9" s="54"/>
      <c r="F9" s="55" t="e">
        <f>'COSTO UNITARIO'!#REF!</f>
        <v>#REF!</v>
      </c>
      <c r="G9" s="56" t="e">
        <f t="shared" si="0"/>
        <v>#REF!</v>
      </c>
      <c r="H9" s="57">
        <v>0.25</v>
      </c>
      <c r="I9" s="58" t="e">
        <f t="shared" si="1"/>
        <v>#REF!</v>
      </c>
      <c r="J9" s="59" t="e">
        <f t="shared" si="2"/>
        <v>#REF!</v>
      </c>
      <c r="K9" s="60"/>
      <c r="L9" s="61" t="e">
        <f t="shared" si="3"/>
        <v>#REF!</v>
      </c>
      <c r="M9" s="62">
        <f>'🏠 INICIO'!C8</f>
        <v>0.1</v>
      </c>
      <c r="N9" s="63" t="e">
        <f t="shared" si="4"/>
        <v>#REF!</v>
      </c>
      <c r="O9" s="61" t="e">
        <f t="shared" si="5"/>
        <v>#REF!</v>
      </c>
    </row>
    <row r="10" spans="2:15" ht="18" customHeight="1" x14ac:dyDescent="0.2">
      <c r="B10" s="51">
        <v>5</v>
      </c>
      <c r="C10" s="52" t="s">
        <v>131</v>
      </c>
      <c r="D10" s="53" t="s">
        <v>132</v>
      </c>
      <c r="E10" s="54"/>
      <c r="F10" s="55" t="e">
        <f>'COSTO UNITARIO'!#REF!</f>
        <v>#REF!</v>
      </c>
      <c r="G10" s="56" t="e">
        <f t="shared" si="0"/>
        <v>#REF!</v>
      </c>
      <c r="H10" s="57">
        <v>0.3</v>
      </c>
      <c r="I10" s="58" t="e">
        <f t="shared" si="1"/>
        <v>#REF!</v>
      </c>
      <c r="J10" s="59" t="e">
        <f t="shared" si="2"/>
        <v>#REF!</v>
      </c>
      <c r="K10" s="60"/>
      <c r="L10" s="61" t="e">
        <f t="shared" si="3"/>
        <v>#REF!</v>
      </c>
      <c r="M10" s="62">
        <f>'🏠 INICIO'!C8</f>
        <v>0.1</v>
      </c>
      <c r="N10" s="63" t="e">
        <f t="shared" si="4"/>
        <v>#REF!</v>
      </c>
      <c r="O10" s="61" t="e">
        <f t="shared" si="5"/>
        <v>#REF!</v>
      </c>
    </row>
    <row r="11" spans="2:15" ht="18" customHeight="1" x14ac:dyDescent="0.2">
      <c r="B11" s="64">
        <v>6</v>
      </c>
      <c r="C11" s="65" t="s">
        <v>133</v>
      </c>
      <c r="D11" s="66"/>
      <c r="E11" s="54"/>
      <c r="F11" s="55" t="e">
        <f>'COSTO UNITARIO'!#REF!</f>
        <v>#REF!</v>
      </c>
      <c r="G11" s="56" t="e">
        <f t="shared" si="0"/>
        <v>#REF!</v>
      </c>
      <c r="H11" s="57">
        <v>0.3</v>
      </c>
      <c r="I11" s="58" t="e">
        <f t="shared" si="1"/>
        <v>#REF!</v>
      </c>
      <c r="J11" s="59" t="e">
        <f t="shared" si="2"/>
        <v>#REF!</v>
      </c>
      <c r="K11" s="60"/>
      <c r="L11" s="61" t="e">
        <f t="shared" si="3"/>
        <v>#REF!</v>
      </c>
      <c r="M11" s="62">
        <f>'🏠 INICIO'!C8</f>
        <v>0.1</v>
      </c>
      <c r="N11" s="63" t="e">
        <f t="shared" si="4"/>
        <v>#REF!</v>
      </c>
      <c r="O11" s="61" t="e">
        <f t="shared" si="5"/>
        <v>#REF!</v>
      </c>
    </row>
    <row r="12" spans="2:15" ht="18" customHeight="1" x14ac:dyDescent="0.2">
      <c r="B12" s="51">
        <v>7</v>
      </c>
      <c r="C12" s="52" t="s">
        <v>134</v>
      </c>
      <c r="D12" s="53"/>
      <c r="E12" s="54"/>
      <c r="F12" s="55" t="e">
        <f>'COSTO UNITARIO'!#REF!</f>
        <v>#REF!</v>
      </c>
      <c r="G12" s="56" t="e">
        <f t="shared" si="0"/>
        <v>#REF!</v>
      </c>
      <c r="H12" s="57">
        <v>0.3</v>
      </c>
      <c r="I12" s="58" t="e">
        <f t="shared" si="1"/>
        <v>#REF!</v>
      </c>
      <c r="J12" s="59" t="e">
        <f t="shared" si="2"/>
        <v>#REF!</v>
      </c>
      <c r="K12" s="60"/>
      <c r="L12" s="61" t="e">
        <f t="shared" si="3"/>
        <v>#REF!</v>
      </c>
      <c r="M12" s="62">
        <f>'🏠 INICIO'!C8</f>
        <v>0.1</v>
      </c>
      <c r="N12" s="63" t="e">
        <f t="shared" si="4"/>
        <v>#REF!</v>
      </c>
      <c r="O12" s="61" t="e">
        <f t="shared" si="5"/>
        <v>#REF!</v>
      </c>
    </row>
    <row r="13" spans="2:15" ht="18" customHeight="1" x14ac:dyDescent="0.2">
      <c r="B13" s="64">
        <v>8</v>
      </c>
      <c r="C13" s="65" t="s">
        <v>135</v>
      </c>
      <c r="D13" s="66"/>
      <c r="E13" s="54"/>
      <c r="F13" s="55" t="e">
        <f>'COSTO UNITARIO'!#REF!</f>
        <v>#REF!</v>
      </c>
      <c r="G13" s="56" t="e">
        <f t="shared" si="0"/>
        <v>#REF!</v>
      </c>
      <c r="H13" s="57">
        <v>0.35</v>
      </c>
      <c r="I13" s="58" t="e">
        <f t="shared" si="1"/>
        <v>#REF!</v>
      </c>
      <c r="J13" s="59" t="e">
        <f t="shared" si="2"/>
        <v>#REF!</v>
      </c>
      <c r="K13" s="60"/>
      <c r="L13" s="61" t="e">
        <f t="shared" si="3"/>
        <v>#REF!</v>
      </c>
      <c r="M13" s="62">
        <f>'🏠 INICIO'!C8</f>
        <v>0.1</v>
      </c>
      <c r="N13" s="63" t="e">
        <f t="shared" si="4"/>
        <v>#REF!</v>
      </c>
      <c r="O13" s="61" t="e">
        <f t="shared" si="5"/>
        <v>#REF!</v>
      </c>
    </row>
    <row r="14" spans="2:15" ht="18" customHeight="1" x14ac:dyDescent="0.2">
      <c r="B14" s="51">
        <v>9</v>
      </c>
      <c r="C14" s="52" t="s">
        <v>135</v>
      </c>
      <c r="D14" s="53"/>
      <c r="E14" s="54"/>
      <c r="F14" s="55" t="e">
        <f>'COSTO UNITARIO'!#REF!</f>
        <v>#REF!</v>
      </c>
      <c r="G14" s="56" t="e">
        <f t="shared" si="0"/>
        <v>#REF!</v>
      </c>
      <c r="H14" s="57">
        <v>0.35</v>
      </c>
      <c r="I14" s="58" t="e">
        <f t="shared" si="1"/>
        <v>#REF!</v>
      </c>
      <c r="J14" s="59" t="e">
        <f t="shared" si="2"/>
        <v>#REF!</v>
      </c>
      <c r="K14" s="60"/>
      <c r="L14" s="61" t="e">
        <f t="shared" si="3"/>
        <v>#REF!</v>
      </c>
      <c r="M14" s="62">
        <f>'🏠 INICIO'!C8</f>
        <v>0.1</v>
      </c>
      <c r="N14" s="63" t="e">
        <f t="shared" si="4"/>
        <v>#REF!</v>
      </c>
      <c r="O14" s="61" t="e">
        <f t="shared" si="5"/>
        <v>#REF!</v>
      </c>
    </row>
    <row r="15" spans="2:15" ht="18" customHeight="1" x14ac:dyDescent="0.2">
      <c r="B15" s="64">
        <v>10</v>
      </c>
      <c r="C15" s="65" t="s">
        <v>128</v>
      </c>
      <c r="D15" s="66"/>
      <c r="E15" s="54"/>
      <c r="F15" s="55" t="e">
        <f>'COSTO UNITARIO'!#REF!</f>
        <v>#REF!</v>
      </c>
      <c r="G15" s="56" t="e">
        <f t="shared" si="0"/>
        <v>#REF!</v>
      </c>
      <c r="H15" s="57">
        <v>0.35</v>
      </c>
      <c r="I15" s="58" t="e">
        <f t="shared" si="1"/>
        <v>#REF!</v>
      </c>
      <c r="J15" s="59" t="e">
        <f t="shared" si="2"/>
        <v>#REF!</v>
      </c>
      <c r="K15" s="60"/>
      <c r="L15" s="61" t="e">
        <f t="shared" si="3"/>
        <v>#REF!</v>
      </c>
      <c r="M15" s="62">
        <f>'🏠 INICIO'!C8</f>
        <v>0.1</v>
      </c>
      <c r="N15" s="63" t="e">
        <f t="shared" si="4"/>
        <v>#REF!</v>
      </c>
      <c r="O15" s="61" t="e">
        <f t="shared" si="5"/>
        <v>#REF!</v>
      </c>
    </row>
    <row r="16" spans="2:15" ht="18" customHeight="1" x14ac:dyDescent="0.2">
      <c r="B16" s="51">
        <v>11</v>
      </c>
      <c r="C16" s="52" t="s">
        <v>126</v>
      </c>
      <c r="D16" s="53"/>
      <c r="E16" s="54"/>
      <c r="F16" s="55" t="e">
        <f>'COSTO UNITARIO'!#REF!</f>
        <v>#REF!</v>
      </c>
      <c r="G16" s="56" t="e">
        <f t="shared" si="0"/>
        <v>#REF!</v>
      </c>
      <c r="H16" s="57">
        <v>0.35</v>
      </c>
      <c r="I16" s="58" t="e">
        <f t="shared" si="1"/>
        <v>#REF!</v>
      </c>
      <c r="J16" s="59" t="e">
        <f t="shared" si="2"/>
        <v>#REF!</v>
      </c>
      <c r="K16" s="60"/>
      <c r="L16" s="61" t="e">
        <f t="shared" si="3"/>
        <v>#REF!</v>
      </c>
      <c r="M16" s="62">
        <f>'🏠 INICIO'!C8</f>
        <v>0.1</v>
      </c>
      <c r="N16" s="63" t="e">
        <f t="shared" si="4"/>
        <v>#REF!</v>
      </c>
      <c r="O16" s="61" t="e">
        <f t="shared" si="5"/>
        <v>#REF!</v>
      </c>
    </row>
    <row r="17" spans="2:15" ht="18" customHeight="1" x14ac:dyDescent="0.2">
      <c r="B17" s="64">
        <v>12</v>
      </c>
      <c r="C17" s="65" t="s">
        <v>124</v>
      </c>
      <c r="D17" s="66"/>
      <c r="E17" s="54"/>
      <c r="F17" s="55" t="e">
        <f>'COSTO UNITARIO'!#REF!</f>
        <v>#REF!</v>
      </c>
      <c r="G17" s="56" t="e">
        <f t="shared" si="0"/>
        <v>#REF!</v>
      </c>
      <c r="H17" s="57">
        <v>0.35</v>
      </c>
      <c r="I17" s="58" t="e">
        <f t="shared" si="1"/>
        <v>#REF!</v>
      </c>
      <c r="J17" s="59" t="e">
        <f t="shared" si="2"/>
        <v>#REF!</v>
      </c>
      <c r="K17" s="60"/>
      <c r="L17" s="61" t="e">
        <f t="shared" si="3"/>
        <v>#REF!</v>
      </c>
      <c r="M17" s="62">
        <f>'🏠 INICIO'!C8</f>
        <v>0.1</v>
      </c>
      <c r="N17" s="63" t="e">
        <f t="shared" si="4"/>
        <v>#REF!</v>
      </c>
      <c r="O17" s="61" t="e">
        <f t="shared" si="5"/>
        <v>#REF!</v>
      </c>
    </row>
    <row r="18" spans="2:15" ht="18" customHeight="1" x14ac:dyDescent="0.2">
      <c r="B18" s="51">
        <v>13</v>
      </c>
      <c r="C18" s="52" t="s">
        <v>131</v>
      </c>
      <c r="D18" s="53"/>
      <c r="E18" s="54"/>
      <c r="F18" s="55" t="e">
        <f>'COSTO UNITARIO'!#REF!</f>
        <v>#REF!</v>
      </c>
      <c r="G18" s="56" t="e">
        <f t="shared" si="0"/>
        <v>#REF!</v>
      </c>
      <c r="H18" s="57">
        <v>0.3</v>
      </c>
      <c r="I18" s="58" t="e">
        <f t="shared" si="1"/>
        <v>#REF!</v>
      </c>
      <c r="J18" s="59" t="e">
        <f t="shared" si="2"/>
        <v>#REF!</v>
      </c>
      <c r="K18" s="60"/>
      <c r="L18" s="61" t="e">
        <f t="shared" si="3"/>
        <v>#REF!</v>
      </c>
      <c r="M18" s="62">
        <f>'🏠 INICIO'!C8</f>
        <v>0.1</v>
      </c>
      <c r="N18" s="63" t="e">
        <f t="shared" si="4"/>
        <v>#REF!</v>
      </c>
      <c r="O18" s="61" t="e">
        <f t="shared" si="5"/>
        <v>#REF!</v>
      </c>
    </row>
    <row r="19" spans="2:15" ht="18" customHeight="1" x14ac:dyDescent="0.2">
      <c r="B19" s="64">
        <v>14</v>
      </c>
      <c r="C19" s="65" t="s">
        <v>134</v>
      </c>
      <c r="D19" s="66"/>
      <c r="E19" s="54"/>
      <c r="F19" s="55" t="e">
        <f>'COSTO UNITARIO'!#REF!</f>
        <v>#REF!</v>
      </c>
      <c r="G19" s="56" t="e">
        <f t="shared" si="0"/>
        <v>#REF!</v>
      </c>
      <c r="H19" s="57">
        <v>0.3</v>
      </c>
      <c r="I19" s="58" t="e">
        <f t="shared" si="1"/>
        <v>#REF!</v>
      </c>
      <c r="J19" s="59" t="e">
        <f t="shared" si="2"/>
        <v>#REF!</v>
      </c>
      <c r="K19" s="60"/>
      <c r="L19" s="61" t="e">
        <f t="shared" si="3"/>
        <v>#REF!</v>
      </c>
      <c r="M19" s="62">
        <f>'🏠 INICIO'!C8</f>
        <v>0.1</v>
      </c>
      <c r="N19" s="63" t="e">
        <f t="shared" si="4"/>
        <v>#REF!</v>
      </c>
      <c r="O19" s="61" t="e">
        <f t="shared" si="5"/>
        <v>#REF!</v>
      </c>
    </row>
    <row r="20" spans="2:15" ht="18" customHeight="1" x14ac:dyDescent="0.2">
      <c r="B20" s="51">
        <v>15</v>
      </c>
      <c r="C20" s="52" t="s">
        <v>136</v>
      </c>
      <c r="D20" s="53"/>
      <c r="E20" s="54"/>
      <c r="F20" s="55" t="e">
        <f>'COSTO UNITARIO'!#REF!</f>
        <v>#REF!</v>
      </c>
      <c r="G20" s="56" t="e">
        <f t="shared" si="0"/>
        <v>#REF!</v>
      </c>
      <c r="H20" s="57">
        <v>0.35</v>
      </c>
      <c r="I20" s="58" t="e">
        <f t="shared" si="1"/>
        <v>#REF!</v>
      </c>
      <c r="J20" s="59" t="e">
        <f t="shared" si="2"/>
        <v>#REF!</v>
      </c>
      <c r="K20" s="60"/>
      <c r="L20" s="61" t="e">
        <f t="shared" si="3"/>
        <v>#REF!</v>
      </c>
      <c r="M20" s="62">
        <f>'🏠 INICIO'!C8</f>
        <v>0.1</v>
      </c>
      <c r="N20" s="63" t="e">
        <f t="shared" si="4"/>
        <v>#REF!</v>
      </c>
      <c r="O20" s="61" t="e">
        <f t="shared" si="5"/>
        <v>#REF!</v>
      </c>
    </row>
    <row r="21" spans="2:15" ht="18" customHeight="1" x14ac:dyDescent="0.2">
      <c r="B21" s="64">
        <v>16</v>
      </c>
      <c r="C21" s="65" t="s">
        <v>136</v>
      </c>
      <c r="D21" s="66"/>
      <c r="E21" s="54"/>
      <c r="F21" s="55" t="e">
        <f>'COSTO UNITARIO'!#REF!</f>
        <v>#REF!</v>
      </c>
      <c r="G21" s="56" t="e">
        <f t="shared" si="0"/>
        <v>#REF!</v>
      </c>
      <c r="H21" s="57">
        <v>0.35</v>
      </c>
      <c r="I21" s="58" t="e">
        <f t="shared" si="1"/>
        <v>#REF!</v>
      </c>
      <c r="J21" s="59" t="e">
        <f t="shared" si="2"/>
        <v>#REF!</v>
      </c>
      <c r="K21" s="60"/>
      <c r="L21" s="61" t="e">
        <f t="shared" si="3"/>
        <v>#REF!</v>
      </c>
      <c r="M21" s="62">
        <f>'🏠 INICIO'!C8</f>
        <v>0.1</v>
      </c>
      <c r="N21" s="63" t="e">
        <f t="shared" si="4"/>
        <v>#REF!</v>
      </c>
      <c r="O21" s="61" t="e">
        <f t="shared" si="5"/>
        <v>#REF!</v>
      </c>
    </row>
    <row r="22" spans="2:15" ht="18" customHeight="1" x14ac:dyDescent="0.2">
      <c r="B22" s="51">
        <v>17</v>
      </c>
      <c r="C22" s="52" t="s">
        <v>133</v>
      </c>
      <c r="D22" s="53"/>
      <c r="E22" s="54"/>
      <c r="F22" s="55" t="e">
        <f>'COSTO UNITARIO'!#REF!</f>
        <v>#REF!</v>
      </c>
      <c r="G22" s="56" t="e">
        <f t="shared" si="0"/>
        <v>#REF!</v>
      </c>
      <c r="H22" s="57">
        <v>0.3</v>
      </c>
      <c r="I22" s="58" t="e">
        <f t="shared" si="1"/>
        <v>#REF!</v>
      </c>
      <c r="J22" s="59" t="e">
        <f t="shared" si="2"/>
        <v>#REF!</v>
      </c>
      <c r="K22" s="60"/>
      <c r="L22" s="61" t="e">
        <f t="shared" si="3"/>
        <v>#REF!</v>
      </c>
      <c r="M22" s="62">
        <f>'🏠 INICIO'!C8</f>
        <v>0.1</v>
      </c>
      <c r="N22" s="63" t="e">
        <f t="shared" si="4"/>
        <v>#REF!</v>
      </c>
      <c r="O22" s="61" t="e">
        <f t="shared" si="5"/>
        <v>#REF!</v>
      </c>
    </row>
    <row r="23" spans="2:15" ht="18" customHeight="1" x14ac:dyDescent="0.2">
      <c r="B23" s="64">
        <v>18</v>
      </c>
      <c r="C23" s="65" t="s">
        <v>135</v>
      </c>
      <c r="D23" s="66"/>
      <c r="E23" s="54"/>
      <c r="F23" s="55" t="e">
        <f>'COSTO UNITARIO'!#REF!</f>
        <v>#REF!</v>
      </c>
      <c r="G23" s="56" t="e">
        <f t="shared" si="0"/>
        <v>#REF!</v>
      </c>
      <c r="H23" s="57">
        <v>0.36</v>
      </c>
      <c r="I23" s="58" t="e">
        <f t="shared" si="1"/>
        <v>#REF!</v>
      </c>
      <c r="J23" s="59" t="e">
        <f t="shared" si="2"/>
        <v>#REF!</v>
      </c>
      <c r="K23" s="60"/>
      <c r="L23" s="61" t="e">
        <f t="shared" si="3"/>
        <v>#REF!</v>
      </c>
      <c r="M23" s="62">
        <f>'🏠 INICIO'!C8</f>
        <v>0.1</v>
      </c>
      <c r="N23" s="63" t="e">
        <f t="shared" si="4"/>
        <v>#REF!</v>
      </c>
      <c r="O23" s="61" t="e">
        <f t="shared" si="5"/>
        <v>#REF!</v>
      </c>
    </row>
    <row r="24" spans="2:15" ht="18" customHeight="1" x14ac:dyDescent="0.2">
      <c r="B24" s="51">
        <v>19</v>
      </c>
      <c r="C24" s="52" t="s">
        <v>126</v>
      </c>
      <c r="D24" s="53"/>
      <c r="E24" s="54"/>
      <c r="F24" s="55" t="e">
        <f>'COSTO UNITARIO'!#REF!</f>
        <v>#REF!</v>
      </c>
      <c r="G24" s="56" t="e">
        <f t="shared" si="0"/>
        <v>#REF!</v>
      </c>
      <c r="H24" s="57">
        <v>0.35</v>
      </c>
      <c r="I24" s="58" t="e">
        <f t="shared" si="1"/>
        <v>#REF!</v>
      </c>
      <c r="J24" s="59" t="e">
        <f t="shared" si="2"/>
        <v>#REF!</v>
      </c>
      <c r="K24" s="60"/>
      <c r="L24" s="61" t="e">
        <f t="shared" si="3"/>
        <v>#REF!</v>
      </c>
      <c r="M24" s="62">
        <f>'🏠 INICIO'!C8</f>
        <v>0.1</v>
      </c>
      <c r="N24" s="63" t="e">
        <f t="shared" si="4"/>
        <v>#REF!</v>
      </c>
      <c r="O24" s="61" t="e">
        <f t="shared" si="5"/>
        <v>#REF!</v>
      </c>
    </row>
    <row r="25" spans="2:15" ht="18" customHeight="1" x14ac:dyDescent="0.2">
      <c r="B25" s="64">
        <v>20</v>
      </c>
      <c r="C25" s="65" t="s">
        <v>128</v>
      </c>
      <c r="D25" s="66"/>
      <c r="E25" s="54"/>
      <c r="F25" s="55" t="e">
        <f>'COSTO UNITARIO'!#REF!</f>
        <v>#REF!</v>
      </c>
      <c r="G25" s="56" t="e">
        <f t="shared" si="0"/>
        <v>#REF!</v>
      </c>
      <c r="H25" s="57">
        <v>0.35</v>
      </c>
      <c r="I25" s="58" t="e">
        <f t="shared" si="1"/>
        <v>#REF!</v>
      </c>
      <c r="J25" s="59" t="e">
        <f t="shared" si="2"/>
        <v>#REF!</v>
      </c>
      <c r="K25" s="60"/>
      <c r="L25" s="61" t="e">
        <f t="shared" si="3"/>
        <v>#REF!</v>
      </c>
      <c r="M25" s="62">
        <f>'🏠 INICIO'!C8</f>
        <v>0.1</v>
      </c>
      <c r="N25" s="63" t="e">
        <f t="shared" si="4"/>
        <v>#REF!</v>
      </c>
      <c r="O25" s="61" t="e">
        <f t="shared" si="5"/>
        <v>#REF!</v>
      </c>
    </row>
    <row r="26" spans="2:15" ht="18" customHeight="1" x14ac:dyDescent="0.2">
      <c r="B26" s="51">
        <v>21</v>
      </c>
      <c r="C26" s="67"/>
      <c r="D26" s="67"/>
      <c r="E26" s="67"/>
      <c r="F26" s="68" t="e">
        <f>'COSTO UNITARIO'!#REF!</f>
        <v>#REF!</v>
      </c>
      <c r="G26" s="69" t="str">
        <f t="shared" ref="G26:G55" si="6">IF(E26&lt;&gt;"",E26+F26,"")</f>
        <v/>
      </c>
      <c r="H26" s="70"/>
      <c r="I26" s="71" t="str">
        <f t="shared" si="1"/>
        <v/>
      </c>
      <c r="J26" s="72" t="str">
        <f t="shared" si="2"/>
        <v/>
      </c>
      <c r="K26" s="73"/>
      <c r="L26" s="74" t="str">
        <f t="shared" si="3"/>
        <v/>
      </c>
      <c r="M26" s="75">
        <f>'🏠 INICIO'!C8</f>
        <v>0.1</v>
      </c>
      <c r="N26" s="69" t="str">
        <f t="shared" si="4"/>
        <v/>
      </c>
      <c r="O26" s="74" t="str">
        <f t="shared" si="5"/>
        <v/>
      </c>
    </row>
    <row r="27" spans="2:15" ht="18" customHeight="1" x14ac:dyDescent="0.2">
      <c r="B27" s="64">
        <v>22</v>
      </c>
      <c r="C27" s="67"/>
      <c r="D27" s="67"/>
      <c r="E27" s="67"/>
      <c r="F27" s="68" t="e">
        <f>'COSTO UNITARIO'!#REF!</f>
        <v>#REF!</v>
      </c>
      <c r="G27" s="69" t="str">
        <f t="shared" si="6"/>
        <v/>
      </c>
      <c r="H27" s="70"/>
      <c r="I27" s="71" t="str">
        <f t="shared" si="1"/>
        <v/>
      </c>
      <c r="J27" s="72" t="str">
        <f t="shared" si="2"/>
        <v/>
      </c>
      <c r="K27" s="73"/>
      <c r="L27" s="74" t="str">
        <f t="shared" si="3"/>
        <v/>
      </c>
      <c r="M27" s="75">
        <f>'🏠 INICIO'!C8</f>
        <v>0.1</v>
      </c>
      <c r="N27" s="69" t="str">
        <f t="shared" si="4"/>
        <v/>
      </c>
      <c r="O27" s="74" t="str">
        <f t="shared" si="5"/>
        <v/>
      </c>
    </row>
    <row r="28" spans="2:15" ht="18" customHeight="1" x14ac:dyDescent="0.2">
      <c r="B28" s="51">
        <v>23</v>
      </c>
      <c r="C28" s="67"/>
      <c r="D28" s="67"/>
      <c r="E28" s="67"/>
      <c r="F28" s="68" t="e">
        <f>'COSTO UNITARIO'!#REF!</f>
        <v>#REF!</v>
      </c>
      <c r="G28" s="69" t="str">
        <f t="shared" si="6"/>
        <v/>
      </c>
      <c r="H28" s="70"/>
      <c r="I28" s="71" t="str">
        <f t="shared" si="1"/>
        <v/>
      </c>
      <c r="J28" s="72" t="str">
        <f t="shared" si="2"/>
        <v/>
      </c>
      <c r="K28" s="73"/>
      <c r="L28" s="74" t="str">
        <f t="shared" si="3"/>
        <v/>
      </c>
      <c r="M28" s="75">
        <f>'🏠 INICIO'!C8</f>
        <v>0.1</v>
      </c>
      <c r="N28" s="69" t="str">
        <f t="shared" si="4"/>
        <v/>
      </c>
      <c r="O28" s="74" t="str">
        <f t="shared" si="5"/>
        <v/>
      </c>
    </row>
    <row r="29" spans="2:15" ht="18" customHeight="1" x14ac:dyDescent="0.2">
      <c r="B29" s="64">
        <v>24</v>
      </c>
      <c r="C29" s="67"/>
      <c r="D29" s="67"/>
      <c r="E29" s="67"/>
      <c r="F29" s="68" t="e">
        <f>'COSTO UNITARIO'!#REF!</f>
        <v>#REF!</v>
      </c>
      <c r="G29" s="69" t="str">
        <f t="shared" si="6"/>
        <v/>
      </c>
      <c r="H29" s="70"/>
      <c r="I29" s="71" t="str">
        <f t="shared" si="1"/>
        <v/>
      </c>
      <c r="J29" s="72" t="str">
        <f t="shared" si="2"/>
        <v/>
      </c>
      <c r="K29" s="73"/>
      <c r="L29" s="74" t="str">
        <f t="shared" si="3"/>
        <v/>
      </c>
      <c r="M29" s="75">
        <f>'🏠 INICIO'!C8</f>
        <v>0.1</v>
      </c>
      <c r="N29" s="69" t="str">
        <f t="shared" si="4"/>
        <v/>
      </c>
      <c r="O29" s="74" t="str">
        <f t="shared" si="5"/>
        <v/>
      </c>
    </row>
    <row r="30" spans="2:15" ht="18" customHeight="1" x14ac:dyDescent="0.2">
      <c r="B30" s="51">
        <v>25</v>
      </c>
      <c r="C30" s="67"/>
      <c r="D30" s="67"/>
      <c r="E30" s="67"/>
      <c r="F30" s="68" t="e">
        <f>'COSTO UNITARIO'!#REF!</f>
        <v>#REF!</v>
      </c>
      <c r="G30" s="69" t="str">
        <f t="shared" si="6"/>
        <v/>
      </c>
      <c r="H30" s="70"/>
      <c r="I30" s="71" t="str">
        <f t="shared" si="1"/>
        <v/>
      </c>
      <c r="J30" s="72" t="str">
        <f t="shared" si="2"/>
        <v/>
      </c>
      <c r="K30" s="73"/>
      <c r="L30" s="74" t="str">
        <f t="shared" si="3"/>
        <v/>
      </c>
      <c r="M30" s="75">
        <f>'🏠 INICIO'!C8</f>
        <v>0.1</v>
      </c>
      <c r="N30" s="69" t="str">
        <f t="shared" si="4"/>
        <v/>
      </c>
      <c r="O30" s="74" t="str">
        <f t="shared" si="5"/>
        <v/>
      </c>
    </row>
    <row r="31" spans="2:15" ht="18" customHeight="1" x14ac:dyDescent="0.2">
      <c r="B31" s="64">
        <v>26</v>
      </c>
      <c r="C31" s="67"/>
      <c r="D31" s="67"/>
      <c r="E31" s="67"/>
      <c r="F31" s="68" t="e">
        <f>'COSTO UNITARIO'!#REF!</f>
        <v>#REF!</v>
      </c>
      <c r="G31" s="69" t="str">
        <f t="shared" si="6"/>
        <v/>
      </c>
      <c r="H31" s="70"/>
      <c r="I31" s="71" t="str">
        <f t="shared" si="1"/>
        <v/>
      </c>
      <c r="J31" s="72" t="str">
        <f t="shared" si="2"/>
        <v/>
      </c>
      <c r="K31" s="73"/>
      <c r="L31" s="74" t="str">
        <f t="shared" si="3"/>
        <v/>
      </c>
      <c r="M31" s="75">
        <f>'🏠 INICIO'!C8</f>
        <v>0.1</v>
      </c>
      <c r="N31" s="69" t="str">
        <f t="shared" si="4"/>
        <v/>
      </c>
      <c r="O31" s="74" t="str">
        <f t="shared" si="5"/>
        <v/>
      </c>
    </row>
    <row r="32" spans="2:15" ht="18" customHeight="1" x14ac:dyDescent="0.2">
      <c r="B32" s="51">
        <v>27</v>
      </c>
      <c r="C32" s="67"/>
      <c r="D32" s="67"/>
      <c r="E32" s="67"/>
      <c r="F32" s="68" t="e">
        <f>'COSTO UNITARIO'!#REF!</f>
        <v>#REF!</v>
      </c>
      <c r="G32" s="69" t="str">
        <f t="shared" si="6"/>
        <v/>
      </c>
      <c r="H32" s="70"/>
      <c r="I32" s="71" t="str">
        <f t="shared" si="1"/>
        <v/>
      </c>
      <c r="J32" s="72" t="str">
        <f t="shared" si="2"/>
        <v/>
      </c>
      <c r="K32" s="73"/>
      <c r="L32" s="74" t="str">
        <f t="shared" si="3"/>
        <v/>
      </c>
      <c r="M32" s="75">
        <f>'🏠 INICIO'!C8</f>
        <v>0.1</v>
      </c>
      <c r="N32" s="69" t="str">
        <f t="shared" si="4"/>
        <v/>
      </c>
      <c r="O32" s="74" t="str">
        <f t="shared" si="5"/>
        <v/>
      </c>
    </row>
    <row r="33" spans="2:15" ht="18" customHeight="1" x14ac:dyDescent="0.2">
      <c r="B33" s="64">
        <v>28</v>
      </c>
      <c r="C33" s="67"/>
      <c r="D33" s="67"/>
      <c r="E33" s="67"/>
      <c r="F33" s="68" t="e">
        <f>'COSTO UNITARIO'!#REF!</f>
        <v>#REF!</v>
      </c>
      <c r="G33" s="69" t="str">
        <f t="shared" si="6"/>
        <v/>
      </c>
      <c r="H33" s="70"/>
      <c r="I33" s="71" t="str">
        <f t="shared" si="1"/>
        <v/>
      </c>
      <c r="J33" s="72" t="str">
        <f t="shared" si="2"/>
        <v/>
      </c>
      <c r="K33" s="73"/>
      <c r="L33" s="74" t="str">
        <f t="shared" si="3"/>
        <v/>
      </c>
      <c r="M33" s="75">
        <f>'🏠 INICIO'!C8</f>
        <v>0.1</v>
      </c>
      <c r="N33" s="69" t="str">
        <f t="shared" si="4"/>
        <v/>
      </c>
      <c r="O33" s="74" t="str">
        <f t="shared" si="5"/>
        <v/>
      </c>
    </row>
    <row r="34" spans="2:15" ht="18" customHeight="1" x14ac:dyDescent="0.2">
      <c r="B34" s="51">
        <v>29</v>
      </c>
      <c r="C34" s="67"/>
      <c r="D34" s="67"/>
      <c r="E34" s="67"/>
      <c r="F34" s="68" t="e">
        <f>'COSTO UNITARIO'!#REF!</f>
        <v>#REF!</v>
      </c>
      <c r="G34" s="69" t="str">
        <f t="shared" si="6"/>
        <v/>
      </c>
      <c r="H34" s="70"/>
      <c r="I34" s="71" t="str">
        <f t="shared" si="1"/>
        <v/>
      </c>
      <c r="J34" s="72" t="str">
        <f t="shared" si="2"/>
        <v/>
      </c>
      <c r="K34" s="73"/>
      <c r="L34" s="74" t="str">
        <f t="shared" si="3"/>
        <v/>
      </c>
      <c r="M34" s="75">
        <f>'🏠 INICIO'!C8</f>
        <v>0.1</v>
      </c>
      <c r="N34" s="69" t="str">
        <f t="shared" si="4"/>
        <v/>
      </c>
      <c r="O34" s="74" t="str">
        <f t="shared" si="5"/>
        <v/>
      </c>
    </row>
    <row r="35" spans="2:15" ht="18" customHeight="1" x14ac:dyDescent="0.2">
      <c r="B35" s="64">
        <v>30</v>
      </c>
      <c r="C35" s="67"/>
      <c r="D35" s="67"/>
      <c r="E35" s="67"/>
      <c r="F35" s="68" t="e">
        <f>'COSTO UNITARIO'!#REF!</f>
        <v>#REF!</v>
      </c>
      <c r="G35" s="69" t="str">
        <f t="shared" si="6"/>
        <v/>
      </c>
      <c r="H35" s="70"/>
      <c r="I35" s="71" t="str">
        <f t="shared" si="1"/>
        <v/>
      </c>
      <c r="J35" s="72" t="str">
        <f t="shared" si="2"/>
        <v/>
      </c>
      <c r="K35" s="73"/>
      <c r="L35" s="74" t="str">
        <f t="shared" si="3"/>
        <v/>
      </c>
      <c r="M35" s="75">
        <f>'🏠 INICIO'!C8</f>
        <v>0.1</v>
      </c>
      <c r="N35" s="69" t="str">
        <f t="shared" si="4"/>
        <v/>
      </c>
      <c r="O35" s="74" t="str">
        <f t="shared" si="5"/>
        <v/>
      </c>
    </row>
    <row r="36" spans="2:15" ht="18" customHeight="1" x14ac:dyDescent="0.2">
      <c r="B36" s="51">
        <v>31</v>
      </c>
      <c r="C36" s="67"/>
      <c r="D36" s="67"/>
      <c r="E36" s="67"/>
      <c r="F36" s="68" t="e">
        <f>'COSTO UNITARIO'!#REF!</f>
        <v>#REF!</v>
      </c>
      <c r="G36" s="69" t="str">
        <f t="shared" si="6"/>
        <v/>
      </c>
      <c r="H36" s="70"/>
      <c r="I36" s="71" t="str">
        <f t="shared" si="1"/>
        <v/>
      </c>
      <c r="J36" s="72" t="str">
        <f t="shared" si="2"/>
        <v/>
      </c>
      <c r="K36" s="73"/>
      <c r="L36" s="74" t="str">
        <f t="shared" si="3"/>
        <v/>
      </c>
      <c r="M36" s="75">
        <f>'🏠 INICIO'!C8</f>
        <v>0.1</v>
      </c>
      <c r="N36" s="69" t="str">
        <f t="shared" si="4"/>
        <v/>
      </c>
      <c r="O36" s="74" t="str">
        <f t="shared" si="5"/>
        <v/>
      </c>
    </row>
    <row r="37" spans="2:15" ht="18" customHeight="1" x14ac:dyDescent="0.2">
      <c r="B37" s="64">
        <v>32</v>
      </c>
      <c r="C37" s="67"/>
      <c r="D37" s="67"/>
      <c r="E37" s="67"/>
      <c r="F37" s="68" t="e">
        <f>'COSTO UNITARIO'!#REF!</f>
        <v>#REF!</v>
      </c>
      <c r="G37" s="69" t="str">
        <f t="shared" si="6"/>
        <v/>
      </c>
      <c r="H37" s="70"/>
      <c r="I37" s="71" t="str">
        <f t="shared" si="1"/>
        <v/>
      </c>
      <c r="J37" s="72" t="str">
        <f t="shared" si="2"/>
        <v/>
      </c>
      <c r="K37" s="73"/>
      <c r="L37" s="74" t="str">
        <f t="shared" si="3"/>
        <v/>
      </c>
      <c r="M37" s="75">
        <f>'🏠 INICIO'!C8</f>
        <v>0.1</v>
      </c>
      <c r="N37" s="69" t="str">
        <f t="shared" si="4"/>
        <v/>
      </c>
      <c r="O37" s="74" t="str">
        <f t="shared" si="5"/>
        <v/>
      </c>
    </row>
    <row r="38" spans="2:15" ht="18" customHeight="1" x14ac:dyDescent="0.2">
      <c r="B38" s="51">
        <v>33</v>
      </c>
      <c r="C38" s="67"/>
      <c r="D38" s="67"/>
      <c r="E38" s="67"/>
      <c r="F38" s="68" t="e">
        <f>'COSTO UNITARIO'!#REF!</f>
        <v>#REF!</v>
      </c>
      <c r="G38" s="69" t="str">
        <f t="shared" si="6"/>
        <v/>
      </c>
      <c r="H38" s="70"/>
      <c r="I38" s="71" t="str">
        <f t="shared" ref="I38:I55" si="7">IF(G38&lt;&gt;"",G38/(1-H38)/(1-M38),"")</f>
        <v/>
      </c>
      <c r="J38" s="72" t="str">
        <f t="shared" ref="J38:J55" si="8">IF(G38&lt;&gt;"",G38,"")</f>
        <v/>
      </c>
      <c r="K38" s="73"/>
      <c r="L38" s="74" t="str">
        <f t="shared" ref="L38:L55" si="9">IF(I38&lt;&gt;"",(G38/(1-H38))-G38,"")</f>
        <v/>
      </c>
      <c r="M38" s="75">
        <f>'🏠 INICIO'!C8</f>
        <v>0.1</v>
      </c>
      <c r="N38" s="69" t="str">
        <f t="shared" ref="N38:N55" si="10">IF(I38&lt;&gt;"",I38-(G38/(1-H38)),"")</f>
        <v/>
      </c>
      <c r="O38" s="74" t="str">
        <f t="shared" ref="O38:O55" si="11">IF(I38&lt;&gt;"",L38,"")</f>
        <v/>
      </c>
    </row>
    <row r="39" spans="2:15" ht="18" customHeight="1" x14ac:dyDescent="0.2">
      <c r="B39" s="64">
        <v>34</v>
      </c>
      <c r="C39" s="67"/>
      <c r="D39" s="67"/>
      <c r="E39" s="67"/>
      <c r="F39" s="68" t="e">
        <f>'COSTO UNITARIO'!#REF!</f>
        <v>#REF!</v>
      </c>
      <c r="G39" s="69" t="str">
        <f t="shared" si="6"/>
        <v/>
      </c>
      <c r="H39" s="70"/>
      <c r="I39" s="71" t="str">
        <f t="shared" si="7"/>
        <v/>
      </c>
      <c r="J39" s="72" t="str">
        <f t="shared" si="8"/>
        <v/>
      </c>
      <c r="K39" s="73"/>
      <c r="L39" s="74" t="str">
        <f t="shared" si="9"/>
        <v/>
      </c>
      <c r="M39" s="75">
        <f>'🏠 INICIO'!C8</f>
        <v>0.1</v>
      </c>
      <c r="N39" s="69" t="str">
        <f t="shared" si="10"/>
        <v/>
      </c>
      <c r="O39" s="74" t="str">
        <f t="shared" si="11"/>
        <v/>
      </c>
    </row>
    <row r="40" spans="2:15" ht="18" customHeight="1" x14ac:dyDescent="0.2">
      <c r="B40" s="51">
        <v>35</v>
      </c>
      <c r="C40" s="67"/>
      <c r="D40" s="67"/>
      <c r="E40" s="67"/>
      <c r="F40" s="68" t="e">
        <f>'COSTO UNITARIO'!#REF!</f>
        <v>#REF!</v>
      </c>
      <c r="G40" s="69" t="str">
        <f t="shared" si="6"/>
        <v/>
      </c>
      <c r="H40" s="70"/>
      <c r="I40" s="71" t="str">
        <f t="shared" si="7"/>
        <v/>
      </c>
      <c r="J40" s="72" t="str">
        <f t="shared" si="8"/>
        <v/>
      </c>
      <c r="K40" s="73"/>
      <c r="L40" s="74" t="str">
        <f t="shared" si="9"/>
        <v/>
      </c>
      <c r="M40" s="75">
        <f>'🏠 INICIO'!C8</f>
        <v>0.1</v>
      </c>
      <c r="N40" s="69" t="str">
        <f t="shared" si="10"/>
        <v/>
      </c>
      <c r="O40" s="74" t="str">
        <f t="shared" si="11"/>
        <v/>
      </c>
    </row>
    <row r="41" spans="2:15" ht="18" customHeight="1" x14ac:dyDescent="0.2">
      <c r="B41" s="64">
        <v>36</v>
      </c>
      <c r="C41" s="67"/>
      <c r="D41" s="67"/>
      <c r="E41" s="67"/>
      <c r="F41" s="68" t="e">
        <f>'COSTO UNITARIO'!#REF!</f>
        <v>#REF!</v>
      </c>
      <c r="G41" s="69" t="str">
        <f t="shared" si="6"/>
        <v/>
      </c>
      <c r="H41" s="70"/>
      <c r="I41" s="71" t="str">
        <f t="shared" si="7"/>
        <v/>
      </c>
      <c r="J41" s="72" t="str">
        <f t="shared" si="8"/>
        <v/>
      </c>
      <c r="K41" s="73"/>
      <c r="L41" s="74" t="str">
        <f t="shared" si="9"/>
        <v/>
      </c>
      <c r="M41" s="75">
        <f>'🏠 INICIO'!C8</f>
        <v>0.1</v>
      </c>
      <c r="N41" s="69" t="str">
        <f t="shared" si="10"/>
        <v/>
      </c>
      <c r="O41" s="74" t="str">
        <f t="shared" si="11"/>
        <v/>
      </c>
    </row>
    <row r="42" spans="2:15" ht="18" customHeight="1" x14ac:dyDescent="0.2">
      <c r="B42" s="51">
        <v>37</v>
      </c>
      <c r="C42" s="67"/>
      <c r="D42" s="67"/>
      <c r="E42" s="67"/>
      <c r="F42" s="68" t="e">
        <f>'COSTO UNITARIO'!#REF!</f>
        <v>#REF!</v>
      </c>
      <c r="G42" s="69" t="str">
        <f t="shared" si="6"/>
        <v/>
      </c>
      <c r="H42" s="70"/>
      <c r="I42" s="71" t="str">
        <f t="shared" si="7"/>
        <v/>
      </c>
      <c r="J42" s="72" t="str">
        <f t="shared" si="8"/>
        <v/>
      </c>
      <c r="K42" s="73"/>
      <c r="L42" s="74" t="str">
        <f t="shared" si="9"/>
        <v/>
      </c>
      <c r="M42" s="75">
        <f>'🏠 INICIO'!C8</f>
        <v>0.1</v>
      </c>
      <c r="N42" s="69" t="str">
        <f t="shared" si="10"/>
        <v/>
      </c>
      <c r="O42" s="74" t="str">
        <f t="shared" si="11"/>
        <v/>
      </c>
    </row>
    <row r="43" spans="2:15" ht="18" customHeight="1" x14ac:dyDescent="0.2">
      <c r="B43" s="64">
        <v>38</v>
      </c>
      <c r="C43" s="67"/>
      <c r="D43" s="67"/>
      <c r="E43" s="67"/>
      <c r="F43" s="68" t="e">
        <f>'COSTO UNITARIO'!#REF!</f>
        <v>#REF!</v>
      </c>
      <c r="G43" s="69" t="str">
        <f t="shared" si="6"/>
        <v/>
      </c>
      <c r="H43" s="70"/>
      <c r="I43" s="71" t="str">
        <f t="shared" si="7"/>
        <v/>
      </c>
      <c r="J43" s="72" t="str">
        <f t="shared" si="8"/>
        <v/>
      </c>
      <c r="K43" s="73"/>
      <c r="L43" s="74" t="str">
        <f t="shared" si="9"/>
        <v/>
      </c>
      <c r="M43" s="75">
        <f>'🏠 INICIO'!C8</f>
        <v>0.1</v>
      </c>
      <c r="N43" s="69" t="str">
        <f t="shared" si="10"/>
        <v/>
      </c>
      <c r="O43" s="74" t="str">
        <f t="shared" si="11"/>
        <v/>
      </c>
    </row>
    <row r="44" spans="2:15" ht="18" customHeight="1" x14ac:dyDescent="0.2">
      <c r="B44" s="51">
        <v>39</v>
      </c>
      <c r="C44" s="67"/>
      <c r="D44" s="67"/>
      <c r="E44" s="67"/>
      <c r="F44" s="68" t="e">
        <f>'COSTO UNITARIO'!#REF!</f>
        <v>#REF!</v>
      </c>
      <c r="G44" s="69" t="str">
        <f t="shared" si="6"/>
        <v/>
      </c>
      <c r="H44" s="70"/>
      <c r="I44" s="71" t="str">
        <f t="shared" si="7"/>
        <v/>
      </c>
      <c r="J44" s="72" t="str">
        <f t="shared" si="8"/>
        <v/>
      </c>
      <c r="K44" s="73"/>
      <c r="L44" s="74" t="str">
        <f t="shared" si="9"/>
        <v/>
      </c>
      <c r="M44" s="75">
        <f>'🏠 INICIO'!C8</f>
        <v>0.1</v>
      </c>
      <c r="N44" s="69" t="str">
        <f t="shared" si="10"/>
        <v/>
      </c>
      <c r="O44" s="74" t="str">
        <f t="shared" si="11"/>
        <v/>
      </c>
    </row>
    <row r="45" spans="2:15" ht="18" customHeight="1" x14ac:dyDescent="0.2">
      <c r="B45" s="64">
        <v>40</v>
      </c>
      <c r="C45" s="67"/>
      <c r="D45" s="67"/>
      <c r="E45" s="67"/>
      <c r="F45" s="68" t="e">
        <f>'COSTO UNITARIO'!#REF!</f>
        <v>#REF!</v>
      </c>
      <c r="G45" s="69" t="str">
        <f t="shared" si="6"/>
        <v/>
      </c>
      <c r="H45" s="70"/>
      <c r="I45" s="71" t="str">
        <f t="shared" si="7"/>
        <v/>
      </c>
      <c r="J45" s="72" t="str">
        <f t="shared" si="8"/>
        <v/>
      </c>
      <c r="K45" s="73"/>
      <c r="L45" s="74" t="str">
        <f t="shared" si="9"/>
        <v/>
      </c>
      <c r="M45" s="75">
        <f>'🏠 INICIO'!C8</f>
        <v>0.1</v>
      </c>
      <c r="N45" s="69" t="str">
        <f t="shared" si="10"/>
        <v/>
      </c>
      <c r="O45" s="74" t="str">
        <f t="shared" si="11"/>
        <v/>
      </c>
    </row>
    <row r="46" spans="2:15" ht="18" customHeight="1" x14ac:dyDescent="0.2">
      <c r="B46" s="51">
        <v>41</v>
      </c>
      <c r="C46" s="67"/>
      <c r="D46" s="67"/>
      <c r="E46" s="67"/>
      <c r="F46" s="68" t="e">
        <f>'COSTO UNITARIO'!#REF!</f>
        <v>#REF!</v>
      </c>
      <c r="G46" s="69" t="str">
        <f t="shared" si="6"/>
        <v/>
      </c>
      <c r="H46" s="70"/>
      <c r="I46" s="71" t="str">
        <f t="shared" si="7"/>
        <v/>
      </c>
      <c r="J46" s="72" t="str">
        <f t="shared" si="8"/>
        <v/>
      </c>
      <c r="K46" s="73"/>
      <c r="L46" s="74" t="str">
        <f t="shared" si="9"/>
        <v/>
      </c>
      <c r="M46" s="75">
        <f>'🏠 INICIO'!C8</f>
        <v>0.1</v>
      </c>
      <c r="N46" s="69" t="str">
        <f t="shared" si="10"/>
        <v/>
      </c>
      <c r="O46" s="74" t="str">
        <f t="shared" si="11"/>
        <v/>
      </c>
    </row>
    <row r="47" spans="2:15" ht="18" customHeight="1" x14ac:dyDescent="0.2">
      <c r="B47" s="64">
        <v>42</v>
      </c>
      <c r="C47" s="67"/>
      <c r="D47" s="67"/>
      <c r="E47" s="67"/>
      <c r="F47" s="68" t="e">
        <f>'COSTO UNITARIO'!#REF!</f>
        <v>#REF!</v>
      </c>
      <c r="G47" s="69" t="str">
        <f t="shared" si="6"/>
        <v/>
      </c>
      <c r="H47" s="70"/>
      <c r="I47" s="71" t="str">
        <f t="shared" si="7"/>
        <v/>
      </c>
      <c r="J47" s="72" t="str">
        <f t="shared" si="8"/>
        <v/>
      </c>
      <c r="K47" s="73"/>
      <c r="L47" s="74" t="str">
        <f t="shared" si="9"/>
        <v/>
      </c>
      <c r="M47" s="75">
        <f>'🏠 INICIO'!C8</f>
        <v>0.1</v>
      </c>
      <c r="N47" s="69" t="str">
        <f t="shared" si="10"/>
        <v/>
      </c>
      <c r="O47" s="74" t="str">
        <f t="shared" si="11"/>
        <v/>
      </c>
    </row>
    <row r="48" spans="2:15" ht="18" customHeight="1" x14ac:dyDescent="0.2">
      <c r="B48" s="51">
        <v>43</v>
      </c>
      <c r="C48" s="67"/>
      <c r="D48" s="67"/>
      <c r="E48" s="67"/>
      <c r="F48" s="68" t="e">
        <f>'COSTO UNITARIO'!#REF!</f>
        <v>#REF!</v>
      </c>
      <c r="G48" s="69" t="str">
        <f t="shared" si="6"/>
        <v/>
      </c>
      <c r="H48" s="70"/>
      <c r="I48" s="71" t="str">
        <f t="shared" si="7"/>
        <v/>
      </c>
      <c r="J48" s="72" t="str">
        <f t="shared" si="8"/>
        <v/>
      </c>
      <c r="K48" s="73"/>
      <c r="L48" s="74" t="str">
        <f t="shared" si="9"/>
        <v/>
      </c>
      <c r="M48" s="75">
        <f>'🏠 INICIO'!C8</f>
        <v>0.1</v>
      </c>
      <c r="N48" s="69" t="str">
        <f t="shared" si="10"/>
        <v/>
      </c>
      <c r="O48" s="74" t="str">
        <f t="shared" si="11"/>
        <v/>
      </c>
    </row>
    <row r="49" spans="2:15" ht="18" customHeight="1" x14ac:dyDescent="0.2">
      <c r="B49" s="64">
        <v>44</v>
      </c>
      <c r="C49" s="67"/>
      <c r="D49" s="67"/>
      <c r="E49" s="67"/>
      <c r="F49" s="68" t="e">
        <f>'COSTO UNITARIO'!#REF!</f>
        <v>#REF!</v>
      </c>
      <c r="G49" s="69" t="str">
        <f t="shared" si="6"/>
        <v/>
      </c>
      <c r="H49" s="70"/>
      <c r="I49" s="71" t="str">
        <f t="shared" si="7"/>
        <v/>
      </c>
      <c r="J49" s="72" t="str">
        <f t="shared" si="8"/>
        <v/>
      </c>
      <c r="K49" s="73"/>
      <c r="L49" s="74" t="str">
        <f t="shared" si="9"/>
        <v/>
      </c>
      <c r="M49" s="75">
        <f>'🏠 INICIO'!C8</f>
        <v>0.1</v>
      </c>
      <c r="N49" s="69" t="str">
        <f t="shared" si="10"/>
        <v/>
      </c>
      <c r="O49" s="74" t="str">
        <f t="shared" si="11"/>
        <v/>
      </c>
    </row>
    <row r="50" spans="2:15" ht="18" customHeight="1" x14ac:dyDescent="0.2">
      <c r="B50" s="51">
        <v>45</v>
      </c>
      <c r="C50" s="67"/>
      <c r="D50" s="67"/>
      <c r="E50" s="67"/>
      <c r="F50" s="68" t="e">
        <f>'COSTO UNITARIO'!#REF!</f>
        <v>#REF!</v>
      </c>
      <c r="G50" s="69" t="str">
        <f t="shared" si="6"/>
        <v/>
      </c>
      <c r="H50" s="70"/>
      <c r="I50" s="71" t="str">
        <f t="shared" si="7"/>
        <v/>
      </c>
      <c r="J50" s="72" t="str">
        <f t="shared" si="8"/>
        <v/>
      </c>
      <c r="K50" s="73"/>
      <c r="L50" s="74" t="str">
        <f t="shared" si="9"/>
        <v/>
      </c>
      <c r="M50" s="75">
        <f>'🏠 INICIO'!C8</f>
        <v>0.1</v>
      </c>
      <c r="N50" s="69" t="str">
        <f t="shared" si="10"/>
        <v/>
      </c>
      <c r="O50" s="74" t="str">
        <f t="shared" si="11"/>
        <v/>
      </c>
    </row>
    <row r="51" spans="2:15" ht="18" customHeight="1" x14ac:dyDescent="0.2">
      <c r="B51" s="64">
        <v>46</v>
      </c>
      <c r="C51" s="67"/>
      <c r="D51" s="67"/>
      <c r="E51" s="67"/>
      <c r="F51" s="68" t="e">
        <f>'COSTO UNITARIO'!#REF!</f>
        <v>#REF!</v>
      </c>
      <c r="G51" s="69" t="str">
        <f t="shared" si="6"/>
        <v/>
      </c>
      <c r="H51" s="70"/>
      <c r="I51" s="71" t="str">
        <f t="shared" si="7"/>
        <v/>
      </c>
      <c r="J51" s="72" t="str">
        <f t="shared" si="8"/>
        <v/>
      </c>
      <c r="K51" s="73"/>
      <c r="L51" s="74" t="str">
        <f t="shared" si="9"/>
        <v/>
      </c>
      <c r="M51" s="75">
        <f>'🏠 INICIO'!C8</f>
        <v>0.1</v>
      </c>
      <c r="N51" s="69" t="str">
        <f t="shared" si="10"/>
        <v/>
      </c>
      <c r="O51" s="74" t="str">
        <f t="shared" si="11"/>
        <v/>
      </c>
    </row>
    <row r="52" spans="2:15" ht="18" customHeight="1" x14ac:dyDescent="0.2">
      <c r="B52" s="51">
        <v>47</v>
      </c>
      <c r="C52" s="67"/>
      <c r="D52" s="67"/>
      <c r="E52" s="67"/>
      <c r="F52" s="68" t="e">
        <f>'COSTO UNITARIO'!#REF!</f>
        <v>#REF!</v>
      </c>
      <c r="G52" s="69" t="str">
        <f t="shared" si="6"/>
        <v/>
      </c>
      <c r="H52" s="70"/>
      <c r="I52" s="71" t="str">
        <f t="shared" si="7"/>
        <v/>
      </c>
      <c r="J52" s="72" t="str">
        <f t="shared" si="8"/>
        <v/>
      </c>
      <c r="K52" s="73"/>
      <c r="L52" s="74" t="str">
        <f t="shared" si="9"/>
        <v/>
      </c>
      <c r="M52" s="75">
        <f>'🏠 INICIO'!C8</f>
        <v>0.1</v>
      </c>
      <c r="N52" s="69" t="str">
        <f t="shared" si="10"/>
        <v/>
      </c>
      <c r="O52" s="74" t="str">
        <f t="shared" si="11"/>
        <v/>
      </c>
    </row>
    <row r="53" spans="2:15" ht="18" customHeight="1" x14ac:dyDescent="0.2">
      <c r="B53" s="64">
        <v>48</v>
      </c>
      <c r="C53" s="67"/>
      <c r="D53" s="67"/>
      <c r="E53" s="67"/>
      <c r="F53" s="68" t="e">
        <f>'COSTO UNITARIO'!#REF!</f>
        <v>#REF!</v>
      </c>
      <c r="G53" s="69" t="str">
        <f t="shared" si="6"/>
        <v/>
      </c>
      <c r="H53" s="70"/>
      <c r="I53" s="71" t="str">
        <f t="shared" si="7"/>
        <v/>
      </c>
      <c r="J53" s="72" t="str">
        <f t="shared" si="8"/>
        <v/>
      </c>
      <c r="K53" s="73"/>
      <c r="L53" s="74" t="str">
        <f t="shared" si="9"/>
        <v/>
      </c>
      <c r="M53" s="75">
        <f>'🏠 INICIO'!C8</f>
        <v>0.1</v>
      </c>
      <c r="N53" s="69" t="str">
        <f t="shared" si="10"/>
        <v/>
      </c>
      <c r="O53" s="74" t="str">
        <f t="shared" si="11"/>
        <v/>
      </c>
    </row>
    <row r="54" spans="2:15" ht="18" customHeight="1" x14ac:dyDescent="0.2">
      <c r="B54" s="51">
        <v>49</v>
      </c>
      <c r="C54" s="67"/>
      <c r="D54" s="67"/>
      <c r="E54" s="67"/>
      <c r="F54" s="68" t="e">
        <f>'COSTO UNITARIO'!#REF!</f>
        <v>#REF!</v>
      </c>
      <c r="G54" s="69" t="str">
        <f t="shared" si="6"/>
        <v/>
      </c>
      <c r="H54" s="70"/>
      <c r="I54" s="71" t="str">
        <f t="shared" si="7"/>
        <v/>
      </c>
      <c r="J54" s="72" t="str">
        <f t="shared" si="8"/>
        <v/>
      </c>
      <c r="K54" s="73"/>
      <c r="L54" s="74" t="str">
        <f t="shared" si="9"/>
        <v/>
      </c>
      <c r="M54" s="75">
        <f>'🏠 INICIO'!C8</f>
        <v>0.1</v>
      </c>
      <c r="N54" s="69" t="str">
        <f t="shared" si="10"/>
        <v/>
      </c>
      <c r="O54" s="74" t="str">
        <f t="shared" si="11"/>
        <v/>
      </c>
    </row>
    <row r="55" spans="2:15" ht="18" customHeight="1" x14ac:dyDescent="0.2">
      <c r="B55" s="64">
        <v>50</v>
      </c>
      <c r="C55" s="67"/>
      <c r="D55" s="67"/>
      <c r="E55" s="67"/>
      <c r="F55" s="68" t="e">
        <f>'COSTO UNITARIO'!#REF!</f>
        <v>#REF!</v>
      </c>
      <c r="G55" s="69" t="str">
        <f t="shared" si="6"/>
        <v/>
      </c>
      <c r="H55" s="70"/>
      <c r="I55" s="71" t="str">
        <f t="shared" si="7"/>
        <v/>
      </c>
      <c r="J55" s="72" t="str">
        <f t="shared" si="8"/>
        <v/>
      </c>
      <c r="K55" s="73"/>
      <c r="L55" s="74" t="str">
        <f t="shared" si="9"/>
        <v/>
      </c>
      <c r="M55" s="75">
        <f>'🏠 INICIO'!C8</f>
        <v>0.1</v>
      </c>
      <c r="N55" s="69" t="str">
        <f t="shared" si="10"/>
        <v/>
      </c>
      <c r="O55" s="74" t="str">
        <f t="shared" si="11"/>
        <v/>
      </c>
    </row>
    <row r="57" spans="2:15" ht="24" customHeight="1" x14ac:dyDescent="0.2">
      <c r="B57" s="285" t="s">
        <v>137</v>
      </c>
      <c r="C57" s="285"/>
      <c r="D57" s="285"/>
      <c r="E57" s="76">
        <f>SUMIF(E6:E55,"&lt;&gt;",E6:E55)</f>
        <v>36</v>
      </c>
      <c r="G57" s="76" t="e">
        <f>SUMIF(G6:G55,"&lt;&gt;",G6:G55)</f>
        <v>#REF!</v>
      </c>
      <c r="I57" s="77" t="e">
        <f>SUMIF(I6:I55,"&lt;&gt;",I6:I55)</f>
        <v>#REF!</v>
      </c>
      <c r="J57" s="76" t="e">
        <f>SUMIF(J6:J55,"&lt;&gt;",J6:J55)</f>
        <v>#REF!</v>
      </c>
      <c r="K57" s="76"/>
      <c r="L57" s="76" t="e">
        <f>SUMIF(L6:L55,"&lt;&gt;",L6:L55)</f>
        <v>#REF!</v>
      </c>
      <c r="N57" s="76" t="e">
        <f>SUMIF(N6:N55,"&lt;&gt;",N6:N55)</f>
        <v>#REF!</v>
      </c>
      <c r="O57" s="76" t="e">
        <f>SUMIF(O6:O55,"&lt;&gt;",O6:O55)</f>
        <v>#REF!</v>
      </c>
    </row>
    <row r="59" spans="2:15" ht="15" customHeight="1" x14ac:dyDescent="0.2">
      <c r="B59" s="279" t="s">
        <v>138</v>
      </c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</row>
    <row r="60" spans="2:15" ht="15" customHeight="1" x14ac:dyDescent="0.2">
      <c r="B60" s="78"/>
    </row>
    <row r="61" spans="2:15" ht="15" customHeight="1" x14ac:dyDescent="0.2">
      <c r="B61" s="79" t="s">
        <v>139</v>
      </c>
      <c r="C61" s="280" t="s">
        <v>140</v>
      </c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</row>
    <row r="62" spans="2:15" ht="15" customHeight="1" x14ac:dyDescent="0.2">
      <c r="B62" s="79" t="s">
        <v>141</v>
      </c>
      <c r="C62" s="280" t="s">
        <v>142</v>
      </c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</row>
    <row r="63" spans="2:15" ht="15" customHeight="1" x14ac:dyDescent="0.2">
      <c r="B63" s="79" t="s">
        <v>143</v>
      </c>
      <c r="C63" s="280" t="s">
        <v>144</v>
      </c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</row>
    <row r="64" spans="2:15" ht="15" customHeight="1" x14ac:dyDescent="0.2">
      <c r="B64" s="78"/>
    </row>
    <row r="65" spans="2:15" ht="15" customHeight="1" x14ac:dyDescent="0.2">
      <c r="B65" s="273" t="s">
        <v>145</v>
      </c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</row>
    <row r="66" spans="2:15" ht="15" customHeight="1" x14ac:dyDescent="0.2">
      <c r="B66" s="81" t="s">
        <v>146</v>
      </c>
      <c r="C66" s="277" t="s">
        <v>147</v>
      </c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</row>
    <row r="67" spans="2:15" ht="15" customHeight="1" x14ac:dyDescent="0.2">
      <c r="B67" s="81" t="s">
        <v>148</v>
      </c>
      <c r="C67" s="277" t="s">
        <v>87</v>
      </c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</row>
    <row r="68" spans="2:15" ht="15" customHeight="1" x14ac:dyDescent="0.2">
      <c r="B68" s="81" t="s">
        <v>149</v>
      </c>
      <c r="C68" s="277" t="s">
        <v>150</v>
      </c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</row>
    <row r="69" spans="2:15" ht="15" customHeight="1" x14ac:dyDescent="0.2">
      <c r="B69" s="81" t="s">
        <v>151</v>
      </c>
      <c r="C69" s="277" t="s">
        <v>152</v>
      </c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</row>
    <row r="70" spans="2:15" ht="15" customHeight="1" x14ac:dyDescent="0.2">
      <c r="B70" s="82" t="s">
        <v>153</v>
      </c>
      <c r="C70" s="278" t="s">
        <v>154</v>
      </c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</row>
    <row r="71" spans="2:15" ht="15" customHeight="1" x14ac:dyDescent="0.2">
      <c r="B71" s="78"/>
    </row>
    <row r="72" spans="2:15" ht="15" customHeight="1" x14ac:dyDescent="0.2">
      <c r="B72" s="273" t="s">
        <v>155</v>
      </c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</row>
    <row r="73" spans="2:15" ht="15" customHeight="1" x14ac:dyDescent="0.2">
      <c r="B73" s="275" t="s">
        <v>156</v>
      </c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</row>
    <row r="74" spans="2:15" ht="15" customHeight="1" x14ac:dyDescent="0.2">
      <c r="B74" s="78"/>
    </row>
    <row r="75" spans="2:15" ht="15" customHeight="1" x14ac:dyDescent="0.2">
      <c r="B75" s="276" t="s">
        <v>157</v>
      </c>
      <c r="C75" s="276"/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</row>
    <row r="76" spans="2:15" ht="15" customHeight="1" x14ac:dyDescent="0.2">
      <c r="B76" s="83" t="s">
        <v>158</v>
      </c>
      <c r="C76" s="272" t="s">
        <v>159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2"/>
    </row>
    <row r="77" spans="2:15" ht="15" customHeight="1" x14ac:dyDescent="0.2">
      <c r="B77" s="83" t="s">
        <v>160</v>
      </c>
      <c r="C77" s="272" t="s">
        <v>161</v>
      </c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</row>
    <row r="78" spans="2:15" ht="15" customHeight="1" x14ac:dyDescent="0.2">
      <c r="B78" s="83" t="s">
        <v>162</v>
      </c>
      <c r="C78" s="272" t="s">
        <v>163</v>
      </c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</row>
    <row r="79" spans="2:15" ht="15" customHeight="1" x14ac:dyDescent="0.2">
      <c r="B79" s="83" t="s">
        <v>164</v>
      </c>
      <c r="C79" s="272" t="s">
        <v>165</v>
      </c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</row>
    <row r="80" spans="2:15" ht="15" customHeight="1" x14ac:dyDescent="0.2">
      <c r="B80" s="83" t="s">
        <v>166</v>
      </c>
      <c r="C80" s="272" t="s">
        <v>167</v>
      </c>
      <c r="D80" s="272"/>
      <c r="E80" s="272"/>
      <c r="F80" s="272"/>
      <c r="G80" s="272"/>
      <c r="H80" s="272"/>
      <c r="I80" s="272"/>
      <c r="J80" s="272"/>
      <c r="K80" s="272"/>
      <c r="L80" s="272"/>
      <c r="M80" s="272"/>
      <c r="N80" s="272"/>
      <c r="O80" s="272"/>
    </row>
    <row r="81" spans="2:15" ht="15" customHeight="1" x14ac:dyDescent="0.2">
      <c r="B81" s="80" t="s">
        <v>168</v>
      </c>
      <c r="C81" s="273" t="s">
        <v>169</v>
      </c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</row>
    <row r="82" spans="2:15" ht="15" customHeight="1" x14ac:dyDescent="0.2">
      <c r="B82" s="78"/>
    </row>
    <row r="83" spans="2:15" ht="15" customHeight="1" x14ac:dyDescent="0.2">
      <c r="B83" s="274" t="e" vm="2">
        <v>#VALUE!</v>
      </c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</row>
    <row r="84" spans="2:15" ht="15" customHeight="1" x14ac:dyDescent="0.2"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</row>
    <row r="85" spans="2:15" ht="15" customHeight="1" x14ac:dyDescent="0.2"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</row>
    <row r="86" spans="2:15" ht="15" customHeight="1" x14ac:dyDescent="0.2"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</row>
    <row r="87" spans="2:15" ht="15" customHeight="1" x14ac:dyDescent="0.2"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</row>
    <row r="88" spans="2:15" ht="15" customHeight="1" x14ac:dyDescent="0.2"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</row>
    <row r="89" spans="2:15" x14ac:dyDescent="0.2"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</row>
    <row r="90" spans="2:15" x14ac:dyDescent="0.2"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</row>
  </sheetData>
  <autoFilter ref="B5:O55" xr:uid="{00000000-0009-0000-0000-000002000000}"/>
  <mergeCells count="25">
    <mergeCell ref="B1:O1"/>
    <mergeCell ref="B2:O2"/>
    <mergeCell ref="C3:D3"/>
    <mergeCell ref="B4:D4"/>
    <mergeCell ref="B57:D57"/>
    <mergeCell ref="B59:O59"/>
    <mergeCell ref="C61:O61"/>
    <mergeCell ref="C62:O62"/>
    <mergeCell ref="C63:O63"/>
    <mergeCell ref="B65:O65"/>
    <mergeCell ref="C66:O66"/>
    <mergeCell ref="C67:O67"/>
    <mergeCell ref="C68:O68"/>
    <mergeCell ref="C69:O69"/>
    <mergeCell ref="C70:O70"/>
    <mergeCell ref="B72:O72"/>
    <mergeCell ref="B73:O73"/>
    <mergeCell ref="B75:O75"/>
    <mergeCell ref="C76:O76"/>
    <mergeCell ref="C77:O77"/>
    <mergeCell ref="C78:O78"/>
    <mergeCell ref="C79:O79"/>
    <mergeCell ref="C80:O80"/>
    <mergeCell ref="C81:O81"/>
    <mergeCell ref="B83:O90"/>
  </mergeCells>
  <dataValidations count="2">
    <dataValidation type="list" allowBlank="1" sqref="C6:C55" xr:uid="{00000000-0002-0000-0200-000000000000}">
      <formula1>"YANBAL,ESIKA,CYZONE,LBEL,NATURA,AVON,FARMASI,ORIFLAME,OTRO"</formula1>
      <formula2>0</formula2>
    </dataValidation>
    <dataValidation type="list" allowBlank="1" sqref="H6:H55" xr:uid="{00000000-0002-0000-0200-000001000000}">
      <formula1>"0.25,0.30,0.35,0.40,0.45,0.50"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111"/>
  <sheetViews>
    <sheetView showGridLines="0" zoomScale="120" zoomScaleNormal="120" workbookViewId="0">
      <pane xSplit="2" ySplit="5" topLeftCell="C6" activePane="bottomRight" state="frozen"/>
      <selection pane="topRight" activeCell="C1" sqref="C1"/>
      <selection pane="bottomLeft" activeCell="A58" sqref="A58"/>
      <selection pane="bottomRight" activeCell="P1" sqref="P1:R5"/>
    </sheetView>
  </sheetViews>
  <sheetFormatPr baseColWidth="10" defaultColWidth="8.6640625" defaultRowHeight="15" x14ac:dyDescent="0.2"/>
  <cols>
    <col min="1" max="1" width="3" customWidth="1"/>
    <col min="2" max="2" width="5" customWidth="1"/>
    <col min="3" max="3" width="8" customWidth="1"/>
    <col min="4" max="4" width="14" customWidth="1"/>
    <col min="5" max="5" width="20" customWidth="1"/>
    <col min="6" max="6" width="14" customWidth="1"/>
    <col min="7" max="7" width="10" customWidth="1"/>
    <col min="8" max="8" width="13" customWidth="1"/>
    <col min="9" max="9" width="10" customWidth="1"/>
    <col min="10" max="10" width="14" customWidth="1"/>
    <col min="11" max="11" width="12" hidden="1" customWidth="1"/>
    <col min="12" max="12" width="12" customWidth="1"/>
    <col min="13" max="13" width="10" customWidth="1"/>
    <col min="14" max="14" width="12" customWidth="1"/>
    <col min="15" max="15" width="14" customWidth="1"/>
  </cols>
  <sheetData>
    <row r="1" spans="2:18" ht="30" customHeight="1" x14ac:dyDescent="0.2">
      <c r="B1" s="291" t="s">
        <v>170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9" t="e" vm="1">
        <v>#VALUE!</v>
      </c>
      <c r="Q1" s="299"/>
      <c r="R1" s="299"/>
    </row>
    <row r="2" spans="2:18" ht="18" customHeight="1" x14ac:dyDescent="0.2">
      <c r="B2" s="292" t="s">
        <v>171</v>
      </c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9"/>
      <c r="Q2" s="299"/>
      <c r="R2" s="299"/>
    </row>
    <row r="3" spans="2:18" ht="24" customHeight="1" x14ac:dyDescent="0.2">
      <c r="B3" s="84" t="s">
        <v>172</v>
      </c>
      <c r="C3" s="85">
        <v>1</v>
      </c>
      <c r="E3" s="84" t="s">
        <v>173</v>
      </c>
      <c r="F3" s="85" t="s">
        <v>174</v>
      </c>
      <c r="H3" s="84" t="s">
        <v>175</v>
      </c>
      <c r="I3" s="86">
        <f>'🏠 INICIO'!C8</f>
        <v>0.1</v>
      </c>
      <c r="J3" s="87" t="s">
        <v>176</v>
      </c>
      <c r="P3" s="299"/>
      <c r="Q3" s="299"/>
      <c r="R3" s="299"/>
    </row>
    <row r="4" spans="2:18" x14ac:dyDescent="0.2">
      <c r="P4" s="299"/>
      <c r="Q4" s="299"/>
      <c r="R4" s="299"/>
    </row>
    <row r="5" spans="2:18" ht="36" customHeight="1" x14ac:dyDescent="0.2">
      <c r="B5" s="88" t="s">
        <v>111</v>
      </c>
      <c r="C5" s="88" t="s">
        <v>177</v>
      </c>
      <c r="D5" s="45" t="s">
        <v>112</v>
      </c>
      <c r="E5" s="45" t="s">
        <v>113</v>
      </c>
      <c r="F5" s="46" t="s">
        <v>178</v>
      </c>
      <c r="G5" s="46" t="s">
        <v>179</v>
      </c>
      <c r="H5" s="46" t="s">
        <v>180</v>
      </c>
      <c r="I5" s="47" t="s">
        <v>181</v>
      </c>
      <c r="J5" s="89" t="s">
        <v>182</v>
      </c>
      <c r="K5" s="46" t="s">
        <v>183</v>
      </c>
      <c r="L5" s="50" t="s">
        <v>184</v>
      </c>
      <c r="M5" s="47" t="s">
        <v>185</v>
      </c>
      <c r="N5" s="47" t="s">
        <v>186</v>
      </c>
      <c r="O5" s="50" t="s">
        <v>187</v>
      </c>
      <c r="P5" s="299"/>
      <c r="Q5" s="299"/>
      <c r="R5" s="299"/>
    </row>
    <row r="6" spans="2:18" ht="18" customHeight="1" x14ac:dyDescent="0.2">
      <c r="B6" s="51">
        <v>1</v>
      </c>
      <c r="C6" s="90" t="s">
        <v>188</v>
      </c>
      <c r="D6" s="91" t="s">
        <v>124</v>
      </c>
      <c r="E6" s="92" t="s">
        <v>189</v>
      </c>
      <c r="F6" s="93">
        <v>20</v>
      </c>
      <c r="G6" s="93">
        <v>3</v>
      </c>
      <c r="H6" s="94">
        <f t="shared" ref="H6:H37" si="0">IF(F6&lt;&gt;"",F6+G6,"")</f>
        <v>23</v>
      </c>
      <c r="I6" s="95">
        <v>0.36</v>
      </c>
      <c r="J6" s="96">
        <f t="shared" ref="J6:J20" si="1">IF(AND(H6&lt;&gt;"",I6&lt;1),H6/(1-I6),"")</f>
        <v>35.9375</v>
      </c>
      <c r="K6" s="97">
        <f t="shared" ref="K6:K37" si="2">IF(F6&lt;&gt;"",F6+G6,"")</f>
        <v>23</v>
      </c>
      <c r="L6" s="98">
        <f t="shared" ref="L6:L37" si="3">IF(J6&lt;&gt;"",J6-K6,"")</f>
        <v>12.9375</v>
      </c>
      <c r="M6" s="99">
        <f>'🏠 INICIO'!C8</f>
        <v>0.1</v>
      </c>
      <c r="N6" s="94">
        <f t="shared" ref="N6:N37" si="4">IF(J6&lt;&gt;"",J6*M6,"")</f>
        <v>3.59375</v>
      </c>
      <c r="O6" s="98">
        <f t="shared" ref="O6:O37" si="5">IF(L6&lt;&gt;"",L6-N6,"")</f>
        <v>9.34375</v>
      </c>
    </row>
    <row r="7" spans="2:18" ht="18" customHeight="1" x14ac:dyDescent="0.2">
      <c r="B7" s="64">
        <v>2</v>
      </c>
      <c r="C7" s="90" t="s">
        <v>188</v>
      </c>
      <c r="D7" s="91" t="s">
        <v>128</v>
      </c>
      <c r="E7" s="92" t="s">
        <v>129</v>
      </c>
      <c r="F7" s="93">
        <v>21</v>
      </c>
      <c r="G7" s="93">
        <v>3</v>
      </c>
      <c r="H7" s="94">
        <f t="shared" si="0"/>
        <v>24</v>
      </c>
      <c r="I7" s="95">
        <v>0.35</v>
      </c>
      <c r="J7" s="96">
        <f t="shared" si="1"/>
        <v>36.92307692307692</v>
      </c>
      <c r="K7" s="97">
        <f t="shared" si="2"/>
        <v>24</v>
      </c>
      <c r="L7" s="98">
        <f t="shared" si="3"/>
        <v>12.92307692307692</v>
      </c>
      <c r="M7" s="99">
        <f>'🏠 INICIO'!C8</f>
        <v>0.1</v>
      </c>
      <c r="N7" s="94">
        <f t="shared" si="4"/>
        <v>3.6923076923076921</v>
      </c>
      <c r="O7" s="98">
        <f t="shared" si="5"/>
        <v>9.2307692307692282</v>
      </c>
    </row>
    <row r="8" spans="2:18" ht="18" customHeight="1" x14ac:dyDescent="0.2">
      <c r="B8" s="51">
        <v>3</v>
      </c>
      <c r="C8" s="90" t="s">
        <v>188</v>
      </c>
      <c r="D8" s="91" t="s">
        <v>128</v>
      </c>
      <c r="E8" s="92" t="s">
        <v>127</v>
      </c>
      <c r="F8" s="93">
        <v>12</v>
      </c>
      <c r="G8" s="93">
        <v>3</v>
      </c>
      <c r="H8" s="94">
        <f t="shared" si="0"/>
        <v>15</v>
      </c>
      <c r="I8" s="95">
        <v>0.3</v>
      </c>
      <c r="J8" s="96">
        <f t="shared" si="1"/>
        <v>21.428571428571431</v>
      </c>
      <c r="K8" s="97">
        <f t="shared" si="2"/>
        <v>15</v>
      </c>
      <c r="L8" s="98">
        <f t="shared" si="3"/>
        <v>6.4285714285714306</v>
      </c>
      <c r="M8" s="99">
        <f>'🏠 INICIO'!C8</f>
        <v>0.1</v>
      </c>
      <c r="N8" s="94">
        <f t="shared" si="4"/>
        <v>2.1428571428571432</v>
      </c>
      <c r="O8" s="98">
        <f t="shared" si="5"/>
        <v>4.2857142857142874</v>
      </c>
    </row>
    <row r="9" spans="2:18" ht="18" customHeight="1" x14ac:dyDescent="0.2">
      <c r="B9" s="64">
        <v>4</v>
      </c>
      <c r="C9" s="90" t="s">
        <v>188</v>
      </c>
      <c r="D9" s="91" t="s">
        <v>135</v>
      </c>
      <c r="E9" s="92" t="s">
        <v>190</v>
      </c>
      <c r="F9" s="93">
        <v>65</v>
      </c>
      <c r="G9" s="93">
        <v>3</v>
      </c>
      <c r="H9" s="94">
        <f t="shared" si="0"/>
        <v>68</v>
      </c>
      <c r="I9" s="95">
        <v>0.36</v>
      </c>
      <c r="J9" s="96">
        <f t="shared" si="1"/>
        <v>106.25</v>
      </c>
      <c r="K9" s="97">
        <f t="shared" si="2"/>
        <v>68</v>
      </c>
      <c r="L9" s="98">
        <f t="shared" si="3"/>
        <v>38.25</v>
      </c>
      <c r="M9" s="99">
        <f>'🏠 INICIO'!C8</f>
        <v>0.1</v>
      </c>
      <c r="N9" s="94">
        <f t="shared" si="4"/>
        <v>10.625</v>
      </c>
      <c r="O9" s="98">
        <f t="shared" si="5"/>
        <v>27.625</v>
      </c>
    </row>
    <row r="10" spans="2:18" ht="18" customHeight="1" x14ac:dyDescent="0.2">
      <c r="B10" s="51">
        <v>5</v>
      </c>
      <c r="C10" s="90" t="s">
        <v>174</v>
      </c>
      <c r="D10" s="91" t="s">
        <v>124</v>
      </c>
      <c r="E10" s="92" t="s">
        <v>191</v>
      </c>
      <c r="F10" s="93">
        <v>45</v>
      </c>
      <c r="G10" s="93">
        <v>3</v>
      </c>
      <c r="H10" s="94">
        <f t="shared" si="0"/>
        <v>48</v>
      </c>
      <c r="I10" s="95">
        <v>0.35</v>
      </c>
      <c r="J10" s="96">
        <f t="shared" si="1"/>
        <v>73.84615384615384</v>
      </c>
      <c r="K10" s="97">
        <f t="shared" si="2"/>
        <v>48</v>
      </c>
      <c r="L10" s="98">
        <f t="shared" si="3"/>
        <v>25.84615384615384</v>
      </c>
      <c r="M10" s="99">
        <f>'🏠 INICIO'!C8</f>
        <v>0.1</v>
      </c>
      <c r="N10" s="94">
        <f t="shared" si="4"/>
        <v>7.3846153846153841</v>
      </c>
      <c r="O10" s="98">
        <f t="shared" si="5"/>
        <v>18.461538461538456</v>
      </c>
    </row>
    <row r="11" spans="2:18" ht="18" customHeight="1" x14ac:dyDescent="0.2">
      <c r="B11" s="64">
        <v>6</v>
      </c>
      <c r="C11" s="90" t="s">
        <v>174</v>
      </c>
      <c r="D11" s="91" t="s">
        <v>126</v>
      </c>
      <c r="E11" s="92" t="s">
        <v>192</v>
      </c>
      <c r="F11" s="93">
        <v>30</v>
      </c>
      <c r="G11" s="93">
        <v>3</v>
      </c>
      <c r="H11" s="94">
        <f t="shared" si="0"/>
        <v>33</v>
      </c>
      <c r="I11" s="95">
        <v>0.35</v>
      </c>
      <c r="J11" s="96">
        <f t="shared" si="1"/>
        <v>50.769230769230766</v>
      </c>
      <c r="K11" s="97">
        <f t="shared" si="2"/>
        <v>33</v>
      </c>
      <c r="L11" s="98">
        <f t="shared" si="3"/>
        <v>17.769230769230766</v>
      </c>
      <c r="M11" s="99">
        <f>'🏠 INICIO'!C8</f>
        <v>0.1</v>
      </c>
      <c r="N11" s="94">
        <f t="shared" si="4"/>
        <v>5.0769230769230766</v>
      </c>
      <c r="O11" s="98">
        <f t="shared" si="5"/>
        <v>12.69230769230769</v>
      </c>
    </row>
    <row r="12" spans="2:18" ht="18" customHeight="1" x14ac:dyDescent="0.2">
      <c r="B12" s="51">
        <v>7</v>
      </c>
      <c r="C12" s="90" t="s">
        <v>174</v>
      </c>
      <c r="D12" s="91" t="s">
        <v>131</v>
      </c>
      <c r="E12" s="92" t="s">
        <v>193</v>
      </c>
      <c r="F12" s="93">
        <v>35.5</v>
      </c>
      <c r="G12" s="93">
        <v>3</v>
      </c>
      <c r="H12" s="94">
        <f t="shared" si="0"/>
        <v>38.5</v>
      </c>
      <c r="I12" s="95">
        <v>0.3</v>
      </c>
      <c r="J12" s="96">
        <f t="shared" si="1"/>
        <v>55</v>
      </c>
      <c r="K12" s="97">
        <f t="shared" si="2"/>
        <v>38.5</v>
      </c>
      <c r="L12" s="98">
        <f t="shared" si="3"/>
        <v>16.5</v>
      </c>
      <c r="M12" s="99">
        <f>'🏠 INICIO'!C8</f>
        <v>0.1</v>
      </c>
      <c r="N12" s="94">
        <f t="shared" si="4"/>
        <v>5.5</v>
      </c>
      <c r="O12" s="98">
        <f t="shared" si="5"/>
        <v>11</v>
      </c>
    </row>
    <row r="13" spans="2:18" ht="18" customHeight="1" x14ac:dyDescent="0.2">
      <c r="B13" s="64">
        <v>8</v>
      </c>
      <c r="C13" s="90" t="s">
        <v>174</v>
      </c>
      <c r="D13" s="91" t="s">
        <v>128</v>
      </c>
      <c r="E13" s="92" t="s">
        <v>194</v>
      </c>
      <c r="F13" s="93">
        <v>18</v>
      </c>
      <c r="G13" s="93">
        <v>3</v>
      </c>
      <c r="H13" s="94">
        <f t="shared" si="0"/>
        <v>21</v>
      </c>
      <c r="I13" s="95">
        <v>0.35</v>
      </c>
      <c r="J13" s="96">
        <f t="shared" si="1"/>
        <v>32.307692307692307</v>
      </c>
      <c r="K13" s="97">
        <f t="shared" si="2"/>
        <v>21</v>
      </c>
      <c r="L13" s="98">
        <f t="shared" si="3"/>
        <v>11.307692307692307</v>
      </c>
      <c r="M13" s="99">
        <f>'🏠 INICIO'!C8</f>
        <v>0.1</v>
      </c>
      <c r="N13" s="94">
        <f t="shared" si="4"/>
        <v>3.2307692307692308</v>
      </c>
      <c r="O13" s="98">
        <f t="shared" si="5"/>
        <v>8.0769230769230766</v>
      </c>
    </row>
    <row r="14" spans="2:18" ht="18" customHeight="1" x14ac:dyDescent="0.2">
      <c r="B14" s="51">
        <v>9</v>
      </c>
      <c r="C14" s="90" t="s">
        <v>174</v>
      </c>
      <c r="D14" s="91" t="s">
        <v>133</v>
      </c>
      <c r="E14" s="92" t="s">
        <v>195</v>
      </c>
      <c r="F14" s="93">
        <v>51</v>
      </c>
      <c r="G14" s="93">
        <v>3</v>
      </c>
      <c r="H14" s="94">
        <f t="shared" si="0"/>
        <v>54</v>
      </c>
      <c r="I14" s="95">
        <v>0.3</v>
      </c>
      <c r="J14" s="96">
        <f t="shared" si="1"/>
        <v>77.142857142857153</v>
      </c>
      <c r="K14" s="97">
        <f t="shared" si="2"/>
        <v>54</v>
      </c>
      <c r="L14" s="98">
        <f t="shared" si="3"/>
        <v>23.142857142857153</v>
      </c>
      <c r="M14" s="99">
        <f>'🏠 INICIO'!C8</f>
        <v>0.1</v>
      </c>
      <c r="N14" s="94">
        <f t="shared" si="4"/>
        <v>7.7142857142857153</v>
      </c>
      <c r="O14" s="98">
        <f t="shared" si="5"/>
        <v>15.428571428571438</v>
      </c>
    </row>
    <row r="15" spans="2:18" ht="18" customHeight="1" x14ac:dyDescent="0.2">
      <c r="B15" s="64">
        <v>10</v>
      </c>
      <c r="C15" s="90" t="s">
        <v>174</v>
      </c>
      <c r="D15" s="91" t="s">
        <v>135</v>
      </c>
      <c r="E15" s="92" t="s">
        <v>196</v>
      </c>
      <c r="F15" s="93">
        <v>55</v>
      </c>
      <c r="G15" s="93">
        <v>3</v>
      </c>
      <c r="H15" s="94">
        <f t="shared" si="0"/>
        <v>58</v>
      </c>
      <c r="I15" s="95">
        <v>0.35</v>
      </c>
      <c r="J15" s="96">
        <f t="shared" si="1"/>
        <v>89.230769230769226</v>
      </c>
      <c r="K15" s="97">
        <f t="shared" si="2"/>
        <v>58</v>
      </c>
      <c r="L15" s="98">
        <f t="shared" si="3"/>
        <v>31.230769230769226</v>
      </c>
      <c r="M15" s="99">
        <f>'🏠 INICIO'!C8</f>
        <v>0.1</v>
      </c>
      <c r="N15" s="94">
        <f t="shared" si="4"/>
        <v>8.9230769230769234</v>
      </c>
      <c r="O15" s="98">
        <f t="shared" si="5"/>
        <v>22.307692307692303</v>
      </c>
    </row>
    <row r="16" spans="2:18" ht="18" customHeight="1" x14ac:dyDescent="0.2">
      <c r="B16" s="51">
        <v>11</v>
      </c>
      <c r="C16" s="90" t="s">
        <v>174</v>
      </c>
      <c r="D16" s="91" t="s">
        <v>134</v>
      </c>
      <c r="E16" s="92" t="s">
        <v>197</v>
      </c>
      <c r="F16" s="93">
        <v>18</v>
      </c>
      <c r="G16" s="93">
        <v>3</v>
      </c>
      <c r="H16" s="94">
        <f t="shared" si="0"/>
        <v>21</v>
      </c>
      <c r="I16" s="95">
        <v>0.3</v>
      </c>
      <c r="J16" s="96">
        <f t="shared" si="1"/>
        <v>30.000000000000004</v>
      </c>
      <c r="K16" s="97">
        <f t="shared" si="2"/>
        <v>21</v>
      </c>
      <c r="L16" s="98">
        <f t="shared" si="3"/>
        <v>9.0000000000000036</v>
      </c>
      <c r="M16" s="99">
        <f>'🏠 INICIO'!C8</f>
        <v>0.1</v>
      </c>
      <c r="N16" s="94">
        <f t="shared" si="4"/>
        <v>3.0000000000000004</v>
      </c>
      <c r="O16" s="98">
        <f t="shared" si="5"/>
        <v>6.0000000000000036</v>
      </c>
    </row>
    <row r="17" spans="2:15" ht="18" customHeight="1" x14ac:dyDescent="0.2">
      <c r="B17" s="64">
        <v>12</v>
      </c>
      <c r="C17" s="90" t="s">
        <v>174</v>
      </c>
      <c r="D17" s="91" t="s">
        <v>136</v>
      </c>
      <c r="E17" s="92" t="s">
        <v>198</v>
      </c>
      <c r="F17" s="93">
        <v>59</v>
      </c>
      <c r="G17" s="93">
        <v>3</v>
      </c>
      <c r="H17" s="94">
        <f t="shared" si="0"/>
        <v>62</v>
      </c>
      <c r="I17" s="95">
        <v>0.35</v>
      </c>
      <c r="J17" s="96">
        <f t="shared" si="1"/>
        <v>95.384615384615387</v>
      </c>
      <c r="K17" s="97">
        <f t="shared" si="2"/>
        <v>62</v>
      </c>
      <c r="L17" s="98">
        <f t="shared" si="3"/>
        <v>33.384615384615387</v>
      </c>
      <c r="M17" s="99">
        <f>'🏠 INICIO'!C8</f>
        <v>0.1</v>
      </c>
      <c r="N17" s="94">
        <f t="shared" si="4"/>
        <v>9.5384615384615383</v>
      </c>
      <c r="O17" s="98">
        <f t="shared" si="5"/>
        <v>23.846153846153847</v>
      </c>
    </row>
    <row r="18" spans="2:15" ht="18" customHeight="1" x14ac:dyDescent="0.2">
      <c r="B18" s="51">
        <v>13</v>
      </c>
      <c r="C18" s="90" t="s">
        <v>174</v>
      </c>
      <c r="D18" s="91" t="s">
        <v>126</v>
      </c>
      <c r="E18" s="92" t="s">
        <v>199</v>
      </c>
      <c r="F18" s="93">
        <v>28</v>
      </c>
      <c r="G18" s="93">
        <v>3</v>
      </c>
      <c r="H18" s="94">
        <f t="shared" si="0"/>
        <v>31</v>
      </c>
      <c r="I18" s="95">
        <v>0.35</v>
      </c>
      <c r="J18" s="96">
        <f t="shared" si="1"/>
        <v>47.692307692307693</v>
      </c>
      <c r="K18" s="97">
        <f t="shared" si="2"/>
        <v>31</v>
      </c>
      <c r="L18" s="98">
        <f t="shared" si="3"/>
        <v>16.692307692307693</v>
      </c>
      <c r="M18" s="99">
        <f>'🏠 INICIO'!C8</f>
        <v>0.1</v>
      </c>
      <c r="N18" s="94">
        <f t="shared" si="4"/>
        <v>4.7692307692307692</v>
      </c>
      <c r="O18" s="98">
        <f t="shared" si="5"/>
        <v>11.923076923076923</v>
      </c>
    </row>
    <row r="19" spans="2:15" ht="18" customHeight="1" x14ac:dyDescent="0.2">
      <c r="B19" s="64">
        <v>14</v>
      </c>
      <c r="C19" s="90" t="s">
        <v>174</v>
      </c>
      <c r="D19" s="91" t="s">
        <v>124</v>
      </c>
      <c r="E19" s="92" t="s">
        <v>130</v>
      </c>
      <c r="F19" s="93">
        <v>34</v>
      </c>
      <c r="G19" s="93">
        <v>3</v>
      </c>
      <c r="H19" s="94">
        <f t="shared" si="0"/>
        <v>37</v>
      </c>
      <c r="I19" s="95">
        <v>0.35</v>
      </c>
      <c r="J19" s="96">
        <f t="shared" si="1"/>
        <v>56.92307692307692</v>
      </c>
      <c r="K19" s="97">
        <f t="shared" si="2"/>
        <v>37</v>
      </c>
      <c r="L19" s="98">
        <f t="shared" si="3"/>
        <v>19.92307692307692</v>
      </c>
      <c r="M19" s="99">
        <f>'🏠 INICIO'!C8</f>
        <v>0.1</v>
      </c>
      <c r="N19" s="94">
        <f t="shared" si="4"/>
        <v>5.6923076923076925</v>
      </c>
      <c r="O19" s="98">
        <f t="shared" si="5"/>
        <v>14.230769230769226</v>
      </c>
    </row>
    <row r="20" spans="2:15" ht="18" customHeight="1" x14ac:dyDescent="0.2">
      <c r="B20" s="51">
        <v>15</v>
      </c>
      <c r="C20" s="90" t="s">
        <v>174</v>
      </c>
      <c r="D20" s="91" t="s">
        <v>128</v>
      </c>
      <c r="E20" s="92" t="s">
        <v>200</v>
      </c>
      <c r="F20" s="93">
        <v>22</v>
      </c>
      <c r="G20" s="93">
        <v>3</v>
      </c>
      <c r="H20" s="94">
        <f t="shared" si="0"/>
        <v>25</v>
      </c>
      <c r="I20" s="95">
        <v>0.35</v>
      </c>
      <c r="J20" s="96">
        <f t="shared" si="1"/>
        <v>38.46153846153846</v>
      </c>
      <c r="K20" s="97">
        <f t="shared" si="2"/>
        <v>25</v>
      </c>
      <c r="L20" s="98">
        <f t="shared" si="3"/>
        <v>13.46153846153846</v>
      </c>
      <c r="M20" s="99">
        <f>'🏠 INICIO'!C8</f>
        <v>0.1</v>
      </c>
      <c r="N20" s="94">
        <f t="shared" si="4"/>
        <v>3.8461538461538463</v>
      </c>
      <c r="O20" s="98">
        <f t="shared" si="5"/>
        <v>9.6153846153846132</v>
      </c>
    </row>
    <row r="21" spans="2:15" ht="18" customHeight="1" x14ac:dyDescent="0.2">
      <c r="B21" s="64">
        <v>16</v>
      </c>
      <c r="C21" s="67"/>
      <c r="D21" s="67"/>
      <c r="E21" s="67"/>
      <c r="F21" s="67"/>
      <c r="G21" s="67"/>
      <c r="H21" s="69" t="str">
        <f t="shared" si="0"/>
        <v/>
      </c>
      <c r="I21" s="75"/>
      <c r="J21" s="100" t="str">
        <f t="shared" ref="J21:J52" si="6">IF(AND(H21&lt;&gt;"",I21&lt;&gt;0,I21&lt;1),H21/(1-I21),"")</f>
        <v/>
      </c>
      <c r="K21" s="72" t="str">
        <f t="shared" si="2"/>
        <v/>
      </c>
      <c r="L21" s="74" t="str">
        <f t="shared" si="3"/>
        <v/>
      </c>
      <c r="M21" s="75">
        <f>'🏠 INICIO'!C8</f>
        <v>0.1</v>
      </c>
      <c r="N21" s="69" t="str">
        <f t="shared" si="4"/>
        <v/>
      </c>
      <c r="O21" s="74" t="str">
        <f t="shared" si="5"/>
        <v/>
      </c>
    </row>
    <row r="22" spans="2:15" ht="18" customHeight="1" x14ac:dyDescent="0.2">
      <c r="B22" s="51">
        <v>17</v>
      </c>
      <c r="C22" s="67"/>
      <c r="D22" s="67"/>
      <c r="E22" s="67"/>
      <c r="F22" s="67"/>
      <c r="G22" s="67"/>
      <c r="H22" s="69" t="str">
        <f t="shared" si="0"/>
        <v/>
      </c>
      <c r="I22" s="75"/>
      <c r="J22" s="100" t="str">
        <f t="shared" si="6"/>
        <v/>
      </c>
      <c r="K22" s="72" t="str">
        <f t="shared" si="2"/>
        <v/>
      </c>
      <c r="L22" s="74" t="str">
        <f t="shared" si="3"/>
        <v/>
      </c>
      <c r="M22" s="75">
        <f>'🏠 INICIO'!C8</f>
        <v>0.1</v>
      </c>
      <c r="N22" s="69" t="str">
        <f t="shared" si="4"/>
        <v/>
      </c>
      <c r="O22" s="74" t="str">
        <f t="shared" si="5"/>
        <v/>
      </c>
    </row>
    <row r="23" spans="2:15" ht="18" customHeight="1" x14ac:dyDescent="0.2">
      <c r="B23" s="64">
        <v>18</v>
      </c>
      <c r="C23" s="67"/>
      <c r="D23" s="67"/>
      <c r="E23" s="67"/>
      <c r="F23" s="67"/>
      <c r="G23" s="67"/>
      <c r="H23" s="69" t="str">
        <f t="shared" si="0"/>
        <v/>
      </c>
      <c r="I23" s="75"/>
      <c r="J23" s="100" t="str">
        <f t="shared" si="6"/>
        <v/>
      </c>
      <c r="K23" s="72" t="str">
        <f t="shared" si="2"/>
        <v/>
      </c>
      <c r="L23" s="74" t="str">
        <f t="shared" si="3"/>
        <v/>
      </c>
      <c r="M23" s="75">
        <f>'🏠 INICIO'!C8</f>
        <v>0.1</v>
      </c>
      <c r="N23" s="69" t="str">
        <f t="shared" si="4"/>
        <v/>
      </c>
      <c r="O23" s="74" t="str">
        <f t="shared" si="5"/>
        <v/>
      </c>
    </row>
    <row r="24" spans="2:15" ht="18" customHeight="1" x14ac:dyDescent="0.2">
      <c r="B24" s="51">
        <v>19</v>
      </c>
      <c r="C24" s="67"/>
      <c r="D24" s="67"/>
      <c r="E24" s="67"/>
      <c r="F24" s="67"/>
      <c r="G24" s="67"/>
      <c r="H24" s="69" t="str">
        <f t="shared" si="0"/>
        <v/>
      </c>
      <c r="I24" s="75"/>
      <c r="J24" s="100" t="str">
        <f t="shared" si="6"/>
        <v/>
      </c>
      <c r="K24" s="72" t="str">
        <f t="shared" si="2"/>
        <v/>
      </c>
      <c r="L24" s="74" t="str">
        <f t="shared" si="3"/>
        <v/>
      </c>
      <c r="M24" s="75">
        <f>'🏠 INICIO'!C8</f>
        <v>0.1</v>
      </c>
      <c r="N24" s="69" t="str">
        <f t="shared" si="4"/>
        <v/>
      </c>
      <c r="O24" s="74" t="str">
        <f t="shared" si="5"/>
        <v/>
      </c>
    </row>
    <row r="25" spans="2:15" ht="18" customHeight="1" x14ac:dyDescent="0.2">
      <c r="B25" s="64">
        <v>20</v>
      </c>
      <c r="C25" s="67"/>
      <c r="D25" s="67"/>
      <c r="E25" s="67"/>
      <c r="F25" s="67"/>
      <c r="G25" s="67"/>
      <c r="H25" s="69" t="str">
        <f t="shared" si="0"/>
        <v/>
      </c>
      <c r="I25" s="75"/>
      <c r="J25" s="100" t="str">
        <f t="shared" si="6"/>
        <v/>
      </c>
      <c r="K25" s="72" t="str">
        <f t="shared" si="2"/>
        <v/>
      </c>
      <c r="L25" s="74" t="str">
        <f t="shared" si="3"/>
        <v/>
      </c>
      <c r="M25" s="75">
        <f>'🏠 INICIO'!C8</f>
        <v>0.1</v>
      </c>
      <c r="N25" s="69" t="str">
        <f t="shared" si="4"/>
        <v/>
      </c>
      <c r="O25" s="74" t="str">
        <f t="shared" si="5"/>
        <v/>
      </c>
    </row>
    <row r="26" spans="2:15" ht="18" customHeight="1" x14ac:dyDescent="0.2">
      <c r="B26" s="51">
        <v>21</v>
      </c>
      <c r="C26" s="67"/>
      <c r="D26" s="67"/>
      <c r="E26" s="67"/>
      <c r="F26" s="67"/>
      <c r="G26" s="67"/>
      <c r="H26" s="69" t="str">
        <f t="shared" si="0"/>
        <v/>
      </c>
      <c r="I26" s="75"/>
      <c r="J26" s="100" t="str">
        <f t="shared" si="6"/>
        <v/>
      </c>
      <c r="K26" s="72" t="str">
        <f t="shared" si="2"/>
        <v/>
      </c>
      <c r="L26" s="74" t="str">
        <f t="shared" si="3"/>
        <v/>
      </c>
      <c r="M26" s="75">
        <f>'🏠 INICIO'!C8</f>
        <v>0.1</v>
      </c>
      <c r="N26" s="69" t="str">
        <f t="shared" si="4"/>
        <v/>
      </c>
      <c r="O26" s="74" t="str">
        <f t="shared" si="5"/>
        <v/>
      </c>
    </row>
    <row r="27" spans="2:15" ht="18" customHeight="1" x14ac:dyDescent="0.2">
      <c r="B27" s="64">
        <v>22</v>
      </c>
      <c r="C27" s="67"/>
      <c r="D27" s="67"/>
      <c r="E27" s="67"/>
      <c r="F27" s="67"/>
      <c r="G27" s="67"/>
      <c r="H27" s="69" t="str">
        <f t="shared" si="0"/>
        <v/>
      </c>
      <c r="I27" s="75"/>
      <c r="J27" s="100" t="str">
        <f t="shared" si="6"/>
        <v/>
      </c>
      <c r="K27" s="72" t="str">
        <f t="shared" si="2"/>
        <v/>
      </c>
      <c r="L27" s="74" t="str">
        <f t="shared" si="3"/>
        <v/>
      </c>
      <c r="M27" s="75">
        <f>'🏠 INICIO'!C8</f>
        <v>0.1</v>
      </c>
      <c r="N27" s="69" t="str">
        <f t="shared" si="4"/>
        <v/>
      </c>
      <c r="O27" s="74" t="str">
        <f t="shared" si="5"/>
        <v/>
      </c>
    </row>
    <row r="28" spans="2:15" ht="18" customHeight="1" x14ac:dyDescent="0.2">
      <c r="B28" s="51">
        <v>23</v>
      </c>
      <c r="C28" s="67"/>
      <c r="D28" s="67"/>
      <c r="E28" s="67"/>
      <c r="F28" s="67"/>
      <c r="G28" s="67"/>
      <c r="H28" s="69" t="str">
        <f t="shared" si="0"/>
        <v/>
      </c>
      <c r="I28" s="75"/>
      <c r="J28" s="100" t="str">
        <f t="shared" si="6"/>
        <v/>
      </c>
      <c r="K28" s="72" t="str">
        <f t="shared" si="2"/>
        <v/>
      </c>
      <c r="L28" s="74" t="str">
        <f t="shared" si="3"/>
        <v/>
      </c>
      <c r="M28" s="75">
        <f>'🏠 INICIO'!C8</f>
        <v>0.1</v>
      </c>
      <c r="N28" s="69" t="str">
        <f t="shared" si="4"/>
        <v/>
      </c>
      <c r="O28" s="74" t="str">
        <f t="shared" si="5"/>
        <v/>
      </c>
    </row>
    <row r="29" spans="2:15" ht="18" customHeight="1" x14ac:dyDescent="0.2">
      <c r="B29" s="64">
        <v>24</v>
      </c>
      <c r="C29" s="67"/>
      <c r="D29" s="67"/>
      <c r="E29" s="67"/>
      <c r="F29" s="67"/>
      <c r="G29" s="67"/>
      <c r="H29" s="69" t="str">
        <f t="shared" si="0"/>
        <v/>
      </c>
      <c r="I29" s="75"/>
      <c r="J29" s="100" t="str">
        <f t="shared" si="6"/>
        <v/>
      </c>
      <c r="K29" s="72" t="str">
        <f t="shared" si="2"/>
        <v/>
      </c>
      <c r="L29" s="74" t="str">
        <f t="shared" si="3"/>
        <v/>
      </c>
      <c r="M29" s="75">
        <f>'🏠 INICIO'!C8</f>
        <v>0.1</v>
      </c>
      <c r="N29" s="69" t="str">
        <f t="shared" si="4"/>
        <v/>
      </c>
      <c r="O29" s="74" t="str">
        <f t="shared" si="5"/>
        <v/>
      </c>
    </row>
    <row r="30" spans="2:15" ht="18" customHeight="1" x14ac:dyDescent="0.2">
      <c r="B30" s="51">
        <v>25</v>
      </c>
      <c r="C30" s="67"/>
      <c r="D30" s="67"/>
      <c r="E30" s="67"/>
      <c r="F30" s="67"/>
      <c r="G30" s="67"/>
      <c r="H30" s="69" t="str">
        <f t="shared" si="0"/>
        <v/>
      </c>
      <c r="I30" s="75"/>
      <c r="J30" s="100" t="str">
        <f t="shared" si="6"/>
        <v/>
      </c>
      <c r="K30" s="72" t="str">
        <f t="shared" si="2"/>
        <v/>
      </c>
      <c r="L30" s="74" t="str">
        <f t="shared" si="3"/>
        <v/>
      </c>
      <c r="M30" s="75">
        <f>'🏠 INICIO'!C8</f>
        <v>0.1</v>
      </c>
      <c r="N30" s="69" t="str">
        <f t="shared" si="4"/>
        <v/>
      </c>
      <c r="O30" s="74" t="str">
        <f t="shared" si="5"/>
        <v/>
      </c>
    </row>
    <row r="31" spans="2:15" ht="18" customHeight="1" x14ac:dyDescent="0.2">
      <c r="B31" s="64">
        <v>26</v>
      </c>
      <c r="C31" s="67"/>
      <c r="D31" s="67"/>
      <c r="E31" s="67"/>
      <c r="F31" s="67"/>
      <c r="G31" s="67"/>
      <c r="H31" s="69" t="str">
        <f t="shared" si="0"/>
        <v/>
      </c>
      <c r="I31" s="75"/>
      <c r="J31" s="100" t="str">
        <f t="shared" si="6"/>
        <v/>
      </c>
      <c r="K31" s="72" t="str">
        <f t="shared" si="2"/>
        <v/>
      </c>
      <c r="L31" s="74" t="str">
        <f t="shared" si="3"/>
        <v/>
      </c>
      <c r="M31" s="75">
        <f>'🏠 INICIO'!C8</f>
        <v>0.1</v>
      </c>
      <c r="N31" s="69" t="str">
        <f t="shared" si="4"/>
        <v/>
      </c>
      <c r="O31" s="74" t="str">
        <f t="shared" si="5"/>
        <v/>
      </c>
    </row>
    <row r="32" spans="2:15" ht="18" customHeight="1" x14ac:dyDescent="0.2">
      <c r="B32" s="51">
        <v>27</v>
      </c>
      <c r="C32" s="67"/>
      <c r="D32" s="67"/>
      <c r="E32" s="67"/>
      <c r="F32" s="67"/>
      <c r="G32" s="67"/>
      <c r="H32" s="69" t="str">
        <f t="shared" si="0"/>
        <v/>
      </c>
      <c r="I32" s="75"/>
      <c r="J32" s="100" t="str">
        <f t="shared" si="6"/>
        <v/>
      </c>
      <c r="K32" s="72" t="str">
        <f t="shared" si="2"/>
        <v/>
      </c>
      <c r="L32" s="74" t="str">
        <f t="shared" si="3"/>
        <v/>
      </c>
      <c r="M32" s="75">
        <f>'🏠 INICIO'!C8</f>
        <v>0.1</v>
      </c>
      <c r="N32" s="69" t="str">
        <f t="shared" si="4"/>
        <v/>
      </c>
      <c r="O32" s="74" t="str">
        <f t="shared" si="5"/>
        <v/>
      </c>
    </row>
    <row r="33" spans="2:15" ht="18" customHeight="1" x14ac:dyDescent="0.2">
      <c r="B33" s="64">
        <v>28</v>
      </c>
      <c r="C33" s="67"/>
      <c r="D33" s="67"/>
      <c r="E33" s="67"/>
      <c r="F33" s="67"/>
      <c r="G33" s="67"/>
      <c r="H33" s="69" t="str">
        <f t="shared" si="0"/>
        <v/>
      </c>
      <c r="I33" s="75"/>
      <c r="J33" s="100" t="str">
        <f t="shared" si="6"/>
        <v/>
      </c>
      <c r="K33" s="72" t="str">
        <f t="shared" si="2"/>
        <v/>
      </c>
      <c r="L33" s="74" t="str">
        <f t="shared" si="3"/>
        <v/>
      </c>
      <c r="M33" s="75">
        <f>'🏠 INICIO'!C8</f>
        <v>0.1</v>
      </c>
      <c r="N33" s="69" t="str">
        <f t="shared" si="4"/>
        <v/>
      </c>
      <c r="O33" s="74" t="str">
        <f t="shared" si="5"/>
        <v/>
      </c>
    </row>
    <row r="34" spans="2:15" ht="18" customHeight="1" x14ac:dyDescent="0.2">
      <c r="B34" s="51">
        <v>29</v>
      </c>
      <c r="C34" s="67"/>
      <c r="D34" s="67"/>
      <c r="E34" s="67"/>
      <c r="F34" s="67"/>
      <c r="G34" s="67"/>
      <c r="H34" s="69" t="str">
        <f t="shared" si="0"/>
        <v/>
      </c>
      <c r="I34" s="75"/>
      <c r="J34" s="100" t="str">
        <f t="shared" si="6"/>
        <v/>
      </c>
      <c r="K34" s="72" t="str">
        <f t="shared" si="2"/>
        <v/>
      </c>
      <c r="L34" s="74" t="str">
        <f t="shared" si="3"/>
        <v/>
      </c>
      <c r="M34" s="75">
        <f>'🏠 INICIO'!C8</f>
        <v>0.1</v>
      </c>
      <c r="N34" s="69" t="str">
        <f t="shared" si="4"/>
        <v/>
      </c>
      <c r="O34" s="74" t="str">
        <f t="shared" si="5"/>
        <v/>
      </c>
    </row>
    <row r="35" spans="2:15" ht="18" customHeight="1" x14ac:dyDescent="0.2">
      <c r="B35" s="64">
        <v>30</v>
      </c>
      <c r="C35" s="67"/>
      <c r="D35" s="67"/>
      <c r="E35" s="67"/>
      <c r="F35" s="67"/>
      <c r="G35" s="67"/>
      <c r="H35" s="69" t="str">
        <f t="shared" si="0"/>
        <v/>
      </c>
      <c r="I35" s="75"/>
      <c r="J35" s="100" t="str">
        <f t="shared" si="6"/>
        <v/>
      </c>
      <c r="K35" s="72" t="str">
        <f t="shared" si="2"/>
        <v/>
      </c>
      <c r="L35" s="74" t="str">
        <f t="shared" si="3"/>
        <v/>
      </c>
      <c r="M35" s="75">
        <f>'🏠 INICIO'!C8</f>
        <v>0.1</v>
      </c>
      <c r="N35" s="69" t="str">
        <f t="shared" si="4"/>
        <v/>
      </c>
      <c r="O35" s="74" t="str">
        <f t="shared" si="5"/>
        <v/>
      </c>
    </row>
    <row r="36" spans="2:15" ht="18" customHeight="1" x14ac:dyDescent="0.2">
      <c r="B36" s="51">
        <v>31</v>
      </c>
      <c r="C36" s="67"/>
      <c r="D36" s="67"/>
      <c r="E36" s="67"/>
      <c r="F36" s="67"/>
      <c r="G36" s="67"/>
      <c r="H36" s="69" t="str">
        <f t="shared" si="0"/>
        <v/>
      </c>
      <c r="I36" s="75"/>
      <c r="J36" s="100" t="str">
        <f t="shared" si="6"/>
        <v/>
      </c>
      <c r="K36" s="72" t="str">
        <f t="shared" si="2"/>
        <v/>
      </c>
      <c r="L36" s="74" t="str">
        <f t="shared" si="3"/>
        <v/>
      </c>
      <c r="M36" s="75">
        <f>'🏠 INICIO'!C8</f>
        <v>0.1</v>
      </c>
      <c r="N36" s="69" t="str">
        <f t="shared" si="4"/>
        <v/>
      </c>
      <c r="O36" s="74" t="str">
        <f t="shared" si="5"/>
        <v/>
      </c>
    </row>
    <row r="37" spans="2:15" ht="18" customHeight="1" x14ac:dyDescent="0.2">
      <c r="B37" s="64">
        <v>32</v>
      </c>
      <c r="C37" s="67"/>
      <c r="D37" s="67"/>
      <c r="E37" s="67"/>
      <c r="F37" s="67"/>
      <c r="G37" s="67"/>
      <c r="H37" s="69" t="str">
        <f t="shared" si="0"/>
        <v/>
      </c>
      <c r="I37" s="75"/>
      <c r="J37" s="100" t="str">
        <f t="shared" si="6"/>
        <v/>
      </c>
      <c r="K37" s="72" t="str">
        <f t="shared" si="2"/>
        <v/>
      </c>
      <c r="L37" s="74" t="str">
        <f t="shared" si="3"/>
        <v/>
      </c>
      <c r="M37" s="75">
        <f>'🏠 INICIO'!C8</f>
        <v>0.1</v>
      </c>
      <c r="N37" s="69" t="str">
        <f t="shared" si="4"/>
        <v/>
      </c>
      <c r="O37" s="74" t="str">
        <f t="shared" si="5"/>
        <v/>
      </c>
    </row>
    <row r="38" spans="2:15" ht="18" customHeight="1" x14ac:dyDescent="0.2">
      <c r="B38" s="51">
        <v>33</v>
      </c>
      <c r="C38" s="67"/>
      <c r="D38" s="67"/>
      <c r="E38" s="67"/>
      <c r="F38" s="67"/>
      <c r="G38" s="67"/>
      <c r="H38" s="69" t="str">
        <f t="shared" ref="H38:H69" si="7">IF(F38&lt;&gt;"",F38+G38,"")</f>
        <v/>
      </c>
      <c r="I38" s="75"/>
      <c r="J38" s="100" t="str">
        <f t="shared" si="6"/>
        <v/>
      </c>
      <c r="K38" s="72" t="str">
        <f t="shared" ref="K38:K69" si="8">IF(F38&lt;&gt;"",F38+G38,"")</f>
        <v/>
      </c>
      <c r="L38" s="74" t="str">
        <f t="shared" ref="L38:L69" si="9">IF(J38&lt;&gt;"",J38-K38,"")</f>
        <v/>
      </c>
      <c r="M38" s="75">
        <f>'🏠 INICIO'!C8</f>
        <v>0.1</v>
      </c>
      <c r="N38" s="69" t="str">
        <f t="shared" ref="N38:N69" si="10">IF(J38&lt;&gt;"",J38*M38,"")</f>
        <v/>
      </c>
      <c r="O38" s="74" t="str">
        <f t="shared" ref="O38:O69" si="11">IF(L38&lt;&gt;"",L38-N38,"")</f>
        <v/>
      </c>
    </row>
    <row r="39" spans="2:15" ht="18" customHeight="1" x14ac:dyDescent="0.2">
      <c r="B39" s="64">
        <v>34</v>
      </c>
      <c r="C39" s="67"/>
      <c r="D39" s="67"/>
      <c r="E39" s="67"/>
      <c r="F39" s="67"/>
      <c r="G39" s="67"/>
      <c r="H39" s="69" t="str">
        <f t="shared" si="7"/>
        <v/>
      </c>
      <c r="I39" s="75"/>
      <c r="J39" s="100" t="str">
        <f t="shared" si="6"/>
        <v/>
      </c>
      <c r="K39" s="72" t="str">
        <f t="shared" si="8"/>
        <v/>
      </c>
      <c r="L39" s="74" t="str">
        <f t="shared" si="9"/>
        <v/>
      </c>
      <c r="M39" s="75">
        <f>'🏠 INICIO'!C8</f>
        <v>0.1</v>
      </c>
      <c r="N39" s="69" t="str">
        <f t="shared" si="10"/>
        <v/>
      </c>
      <c r="O39" s="74" t="str">
        <f t="shared" si="11"/>
        <v/>
      </c>
    </row>
    <row r="40" spans="2:15" ht="18" customHeight="1" x14ac:dyDescent="0.2">
      <c r="B40" s="51">
        <v>35</v>
      </c>
      <c r="C40" s="67"/>
      <c r="D40" s="67"/>
      <c r="E40" s="67"/>
      <c r="F40" s="67"/>
      <c r="G40" s="67"/>
      <c r="H40" s="69" t="str">
        <f t="shared" si="7"/>
        <v/>
      </c>
      <c r="I40" s="75"/>
      <c r="J40" s="100" t="str">
        <f t="shared" si="6"/>
        <v/>
      </c>
      <c r="K40" s="72" t="str">
        <f t="shared" si="8"/>
        <v/>
      </c>
      <c r="L40" s="74" t="str">
        <f t="shared" si="9"/>
        <v/>
      </c>
      <c r="M40" s="75">
        <f>'🏠 INICIO'!C8</f>
        <v>0.1</v>
      </c>
      <c r="N40" s="69" t="str">
        <f t="shared" si="10"/>
        <v/>
      </c>
      <c r="O40" s="74" t="str">
        <f t="shared" si="11"/>
        <v/>
      </c>
    </row>
    <row r="41" spans="2:15" ht="18" customHeight="1" x14ac:dyDescent="0.2">
      <c r="B41" s="64">
        <v>36</v>
      </c>
      <c r="C41" s="67"/>
      <c r="D41" s="67"/>
      <c r="E41" s="67"/>
      <c r="F41" s="67"/>
      <c r="G41" s="67"/>
      <c r="H41" s="69" t="str">
        <f t="shared" si="7"/>
        <v/>
      </c>
      <c r="I41" s="75"/>
      <c r="J41" s="100" t="str">
        <f t="shared" si="6"/>
        <v/>
      </c>
      <c r="K41" s="72" t="str">
        <f t="shared" si="8"/>
        <v/>
      </c>
      <c r="L41" s="74" t="str">
        <f t="shared" si="9"/>
        <v/>
      </c>
      <c r="M41" s="75">
        <f>'🏠 INICIO'!C8</f>
        <v>0.1</v>
      </c>
      <c r="N41" s="69" t="str">
        <f t="shared" si="10"/>
        <v/>
      </c>
      <c r="O41" s="74" t="str">
        <f t="shared" si="11"/>
        <v/>
      </c>
    </row>
    <row r="42" spans="2:15" ht="18" customHeight="1" x14ac:dyDescent="0.2">
      <c r="B42" s="51">
        <v>37</v>
      </c>
      <c r="C42" s="67"/>
      <c r="D42" s="67"/>
      <c r="E42" s="67"/>
      <c r="F42" s="67"/>
      <c r="G42" s="67"/>
      <c r="H42" s="69" t="str">
        <f t="shared" si="7"/>
        <v/>
      </c>
      <c r="I42" s="75"/>
      <c r="J42" s="100" t="str">
        <f t="shared" si="6"/>
        <v/>
      </c>
      <c r="K42" s="72" t="str">
        <f t="shared" si="8"/>
        <v/>
      </c>
      <c r="L42" s="74" t="str">
        <f t="shared" si="9"/>
        <v/>
      </c>
      <c r="M42" s="75">
        <f>'🏠 INICIO'!C8</f>
        <v>0.1</v>
      </c>
      <c r="N42" s="69" t="str">
        <f t="shared" si="10"/>
        <v/>
      </c>
      <c r="O42" s="74" t="str">
        <f t="shared" si="11"/>
        <v/>
      </c>
    </row>
    <row r="43" spans="2:15" ht="18" customHeight="1" x14ac:dyDescent="0.2">
      <c r="B43" s="64">
        <v>38</v>
      </c>
      <c r="C43" s="67"/>
      <c r="D43" s="67"/>
      <c r="E43" s="67"/>
      <c r="F43" s="67"/>
      <c r="G43" s="67"/>
      <c r="H43" s="69" t="str">
        <f t="shared" si="7"/>
        <v/>
      </c>
      <c r="I43" s="75"/>
      <c r="J43" s="100" t="str">
        <f t="shared" si="6"/>
        <v/>
      </c>
      <c r="K43" s="72" t="str">
        <f t="shared" si="8"/>
        <v/>
      </c>
      <c r="L43" s="74" t="str">
        <f t="shared" si="9"/>
        <v/>
      </c>
      <c r="M43" s="75">
        <f>'🏠 INICIO'!C8</f>
        <v>0.1</v>
      </c>
      <c r="N43" s="69" t="str">
        <f t="shared" si="10"/>
        <v/>
      </c>
      <c r="O43" s="74" t="str">
        <f t="shared" si="11"/>
        <v/>
      </c>
    </row>
    <row r="44" spans="2:15" ht="18" customHeight="1" x14ac:dyDescent="0.2">
      <c r="B44" s="51">
        <v>39</v>
      </c>
      <c r="C44" s="67"/>
      <c r="D44" s="67"/>
      <c r="E44" s="67"/>
      <c r="F44" s="67"/>
      <c r="G44" s="67"/>
      <c r="H44" s="69" t="str">
        <f t="shared" si="7"/>
        <v/>
      </c>
      <c r="I44" s="75"/>
      <c r="J44" s="100" t="str">
        <f t="shared" si="6"/>
        <v/>
      </c>
      <c r="K44" s="72" t="str">
        <f t="shared" si="8"/>
        <v/>
      </c>
      <c r="L44" s="74" t="str">
        <f t="shared" si="9"/>
        <v/>
      </c>
      <c r="M44" s="75">
        <f>'🏠 INICIO'!C8</f>
        <v>0.1</v>
      </c>
      <c r="N44" s="69" t="str">
        <f t="shared" si="10"/>
        <v/>
      </c>
      <c r="O44" s="74" t="str">
        <f t="shared" si="11"/>
        <v/>
      </c>
    </row>
    <row r="45" spans="2:15" ht="18" customHeight="1" x14ac:dyDescent="0.2">
      <c r="B45" s="64">
        <v>40</v>
      </c>
      <c r="C45" s="67"/>
      <c r="D45" s="67"/>
      <c r="E45" s="67"/>
      <c r="F45" s="67"/>
      <c r="G45" s="67"/>
      <c r="H45" s="69" t="str">
        <f t="shared" si="7"/>
        <v/>
      </c>
      <c r="I45" s="75"/>
      <c r="J45" s="100" t="str">
        <f t="shared" si="6"/>
        <v/>
      </c>
      <c r="K45" s="72" t="str">
        <f t="shared" si="8"/>
        <v/>
      </c>
      <c r="L45" s="74" t="str">
        <f t="shared" si="9"/>
        <v/>
      </c>
      <c r="M45" s="75">
        <f>'🏠 INICIO'!C8</f>
        <v>0.1</v>
      </c>
      <c r="N45" s="69" t="str">
        <f t="shared" si="10"/>
        <v/>
      </c>
      <c r="O45" s="74" t="str">
        <f t="shared" si="11"/>
        <v/>
      </c>
    </row>
    <row r="46" spans="2:15" ht="18" customHeight="1" x14ac:dyDescent="0.2">
      <c r="B46" s="51">
        <v>41</v>
      </c>
      <c r="C46" s="67"/>
      <c r="D46" s="67"/>
      <c r="E46" s="67"/>
      <c r="F46" s="67"/>
      <c r="G46" s="67"/>
      <c r="H46" s="69" t="str">
        <f t="shared" si="7"/>
        <v/>
      </c>
      <c r="I46" s="75"/>
      <c r="J46" s="100" t="str">
        <f t="shared" si="6"/>
        <v/>
      </c>
      <c r="K46" s="72" t="str">
        <f t="shared" si="8"/>
        <v/>
      </c>
      <c r="L46" s="74" t="str">
        <f t="shared" si="9"/>
        <v/>
      </c>
      <c r="M46" s="75">
        <f>'🏠 INICIO'!C8</f>
        <v>0.1</v>
      </c>
      <c r="N46" s="69" t="str">
        <f t="shared" si="10"/>
        <v/>
      </c>
      <c r="O46" s="74" t="str">
        <f t="shared" si="11"/>
        <v/>
      </c>
    </row>
    <row r="47" spans="2:15" ht="18" customHeight="1" x14ac:dyDescent="0.2">
      <c r="B47" s="64">
        <v>42</v>
      </c>
      <c r="C47" s="67"/>
      <c r="D47" s="67"/>
      <c r="E47" s="67"/>
      <c r="F47" s="67"/>
      <c r="G47" s="67"/>
      <c r="H47" s="69" t="str">
        <f t="shared" si="7"/>
        <v/>
      </c>
      <c r="I47" s="75"/>
      <c r="J47" s="100" t="str">
        <f t="shared" si="6"/>
        <v/>
      </c>
      <c r="K47" s="72" t="str">
        <f t="shared" si="8"/>
        <v/>
      </c>
      <c r="L47" s="74" t="str">
        <f t="shared" si="9"/>
        <v/>
      </c>
      <c r="M47" s="75">
        <f>'🏠 INICIO'!C8</f>
        <v>0.1</v>
      </c>
      <c r="N47" s="69" t="str">
        <f t="shared" si="10"/>
        <v/>
      </c>
      <c r="O47" s="74" t="str">
        <f t="shared" si="11"/>
        <v/>
      </c>
    </row>
    <row r="48" spans="2:15" ht="18" customHeight="1" x14ac:dyDescent="0.2">
      <c r="B48" s="51">
        <v>43</v>
      </c>
      <c r="C48" s="67"/>
      <c r="D48" s="67"/>
      <c r="E48" s="67"/>
      <c r="F48" s="67"/>
      <c r="G48" s="67"/>
      <c r="H48" s="69" t="str">
        <f t="shared" si="7"/>
        <v/>
      </c>
      <c r="I48" s="75"/>
      <c r="J48" s="100" t="str">
        <f t="shared" si="6"/>
        <v/>
      </c>
      <c r="K48" s="72" t="str">
        <f t="shared" si="8"/>
        <v/>
      </c>
      <c r="L48" s="74" t="str">
        <f t="shared" si="9"/>
        <v/>
      </c>
      <c r="M48" s="75">
        <f>'🏠 INICIO'!C8</f>
        <v>0.1</v>
      </c>
      <c r="N48" s="69" t="str">
        <f t="shared" si="10"/>
        <v/>
      </c>
      <c r="O48" s="74" t="str">
        <f t="shared" si="11"/>
        <v/>
      </c>
    </row>
    <row r="49" spans="2:15" ht="18" customHeight="1" x14ac:dyDescent="0.2">
      <c r="B49" s="64">
        <v>44</v>
      </c>
      <c r="C49" s="67"/>
      <c r="D49" s="67"/>
      <c r="E49" s="67"/>
      <c r="F49" s="67"/>
      <c r="G49" s="67"/>
      <c r="H49" s="69" t="str">
        <f t="shared" si="7"/>
        <v/>
      </c>
      <c r="I49" s="75"/>
      <c r="J49" s="100" t="str">
        <f t="shared" si="6"/>
        <v/>
      </c>
      <c r="K49" s="72" t="str">
        <f t="shared" si="8"/>
        <v/>
      </c>
      <c r="L49" s="74" t="str">
        <f t="shared" si="9"/>
        <v/>
      </c>
      <c r="M49" s="75">
        <f>'🏠 INICIO'!C8</f>
        <v>0.1</v>
      </c>
      <c r="N49" s="69" t="str">
        <f t="shared" si="10"/>
        <v/>
      </c>
      <c r="O49" s="74" t="str">
        <f t="shared" si="11"/>
        <v/>
      </c>
    </row>
    <row r="50" spans="2:15" ht="18" customHeight="1" x14ac:dyDescent="0.2">
      <c r="B50" s="51">
        <v>45</v>
      </c>
      <c r="C50" s="67"/>
      <c r="D50" s="67"/>
      <c r="E50" s="67"/>
      <c r="F50" s="67"/>
      <c r="G50" s="67"/>
      <c r="H50" s="69" t="str">
        <f t="shared" si="7"/>
        <v/>
      </c>
      <c r="I50" s="75"/>
      <c r="J50" s="100" t="str">
        <f t="shared" si="6"/>
        <v/>
      </c>
      <c r="K50" s="72" t="str">
        <f t="shared" si="8"/>
        <v/>
      </c>
      <c r="L50" s="74" t="str">
        <f t="shared" si="9"/>
        <v/>
      </c>
      <c r="M50" s="75">
        <f>'🏠 INICIO'!C8</f>
        <v>0.1</v>
      </c>
      <c r="N50" s="69" t="str">
        <f t="shared" si="10"/>
        <v/>
      </c>
      <c r="O50" s="74" t="str">
        <f t="shared" si="11"/>
        <v/>
      </c>
    </row>
    <row r="51" spans="2:15" ht="18" customHeight="1" x14ac:dyDescent="0.2">
      <c r="B51" s="64">
        <v>46</v>
      </c>
      <c r="C51" s="67"/>
      <c r="D51" s="67"/>
      <c r="E51" s="67"/>
      <c r="F51" s="67"/>
      <c r="G51" s="67"/>
      <c r="H51" s="69" t="str">
        <f t="shared" si="7"/>
        <v/>
      </c>
      <c r="I51" s="75"/>
      <c r="J51" s="100" t="str">
        <f t="shared" si="6"/>
        <v/>
      </c>
      <c r="K51" s="72" t="str">
        <f t="shared" si="8"/>
        <v/>
      </c>
      <c r="L51" s="74" t="str">
        <f t="shared" si="9"/>
        <v/>
      </c>
      <c r="M51" s="75">
        <f>'🏠 INICIO'!C8</f>
        <v>0.1</v>
      </c>
      <c r="N51" s="69" t="str">
        <f t="shared" si="10"/>
        <v/>
      </c>
      <c r="O51" s="74" t="str">
        <f t="shared" si="11"/>
        <v/>
      </c>
    </row>
    <row r="52" spans="2:15" ht="18" customHeight="1" x14ac:dyDescent="0.2">
      <c r="B52" s="51">
        <v>47</v>
      </c>
      <c r="C52" s="67"/>
      <c r="D52" s="67"/>
      <c r="E52" s="67"/>
      <c r="F52" s="67"/>
      <c r="G52" s="67"/>
      <c r="H52" s="69" t="str">
        <f t="shared" si="7"/>
        <v/>
      </c>
      <c r="I52" s="75"/>
      <c r="J52" s="100" t="str">
        <f t="shared" si="6"/>
        <v/>
      </c>
      <c r="K52" s="72" t="str">
        <f t="shared" si="8"/>
        <v/>
      </c>
      <c r="L52" s="74" t="str">
        <f t="shared" si="9"/>
        <v/>
      </c>
      <c r="M52" s="75">
        <f>'🏠 INICIO'!C8</f>
        <v>0.1</v>
      </c>
      <c r="N52" s="69" t="str">
        <f t="shared" si="10"/>
        <v/>
      </c>
      <c r="O52" s="74" t="str">
        <f t="shared" si="11"/>
        <v/>
      </c>
    </row>
    <row r="53" spans="2:15" ht="18" customHeight="1" x14ac:dyDescent="0.2">
      <c r="B53" s="64">
        <v>48</v>
      </c>
      <c r="C53" s="67"/>
      <c r="D53" s="67"/>
      <c r="E53" s="67"/>
      <c r="F53" s="67"/>
      <c r="G53" s="67"/>
      <c r="H53" s="69" t="str">
        <f t="shared" si="7"/>
        <v/>
      </c>
      <c r="I53" s="75"/>
      <c r="J53" s="100" t="str">
        <f t="shared" ref="J53:J84" si="12">IF(AND(H53&lt;&gt;"",I53&lt;&gt;0,I53&lt;1),H53/(1-I53),"")</f>
        <v/>
      </c>
      <c r="K53" s="72" t="str">
        <f t="shared" si="8"/>
        <v/>
      </c>
      <c r="L53" s="74" t="str">
        <f t="shared" si="9"/>
        <v/>
      </c>
      <c r="M53" s="75">
        <f>'🏠 INICIO'!C8</f>
        <v>0.1</v>
      </c>
      <c r="N53" s="69" t="str">
        <f t="shared" si="10"/>
        <v/>
      </c>
      <c r="O53" s="74" t="str">
        <f t="shared" si="11"/>
        <v/>
      </c>
    </row>
    <row r="54" spans="2:15" ht="18" customHeight="1" x14ac:dyDescent="0.2">
      <c r="B54" s="51">
        <v>49</v>
      </c>
      <c r="C54" s="67"/>
      <c r="D54" s="67"/>
      <c r="E54" s="67"/>
      <c r="F54" s="67"/>
      <c r="G54" s="67"/>
      <c r="H54" s="69" t="str">
        <f t="shared" si="7"/>
        <v/>
      </c>
      <c r="I54" s="75"/>
      <c r="J54" s="100" t="str">
        <f t="shared" si="12"/>
        <v/>
      </c>
      <c r="K54" s="72" t="str">
        <f t="shared" si="8"/>
        <v/>
      </c>
      <c r="L54" s="74" t="str">
        <f t="shared" si="9"/>
        <v/>
      </c>
      <c r="M54" s="75">
        <f>'🏠 INICIO'!C8</f>
        <v>0.1</v>
      </c>
      <c r="N54" s="69" t="str">
        <f t="shared" si="10"/>
        <v/>
      </c>
      <c r="O54" s="74" t="str">
        <f t="shared" si="11"/>
        <v/>
      </c>
    </row>
    <row r="55" spans="2:15" ht="18" customHeight="1" x14ac:dyDescent="0.2">
      <c r="B55" s="64">
        <v>50</v>
      </c>
      <c r="C55" s="67"/>
      <c r="D55" s="67"/>
      <c r="E55" s="67"/>
      <c r="F55" s="67"/>
      <c r="G55" s="67"/>
      <c r="H55" s="69" t="str">
        <f t="shared" si="7"/>
        <v/>
      </c>
      <c r="I55" s="75"/>
      <c r="J55" s="100" t="str">
        <f t="shared" si="12"/>
        <v/>
      </c>
      <c r="K55" s="72" t="str">
        <f t="shared" si="8"/>
        <v/>
      </c>
      <c r="L55" s="74" t="str">
        <f t="shared" si="9"/>
        <v/>
      </c>
      <c r="M55" s="75">
        <f>'🏠 INICIO'!C8</f>
        <v>0.1</v>
      </c>
      <c r="N55" s="69" t="str">
        <f t="shared" si="10"/>
        <v/>
      </c>
      <c r="O55" s="74" t="str">
        <f t="shared" si="11"/>
        <v/>
      </c>
    </row>
    <row r="56" spans="2:15" ht="18" customHeight="1" x14ac:dyDescent="0.2">
      <c r="B56" s="51">
        <v>51</v>
      </c>
      <c r="C56" s="67"/>
      <c r="D56" s="67"/>
      <c r="E56" s="67"/>
      <c r="F56" s="67"/>
      <c r="G56" s="67"/>
      <c r="H56" s="69" t="str">
        <f t="shared" si="7"/>
        <v/>
      </c>
      <c r="I56" s="75"/>
      <c r="J56" s="100" t="str">
        <f t="shared" si="12"/>
        <v/>
      </c>
      <c r="K56" s="72" t="str">
        <f t="shared" si="8"/>
        <v/>
      </c>
      <c r="L56" s="74" t="str">
        <f t="shared" si="9"/>
        <v/>
      </c>
      <c r="M56" s="75">
        <f>'🏠 INICIO'!C8</f>
        <v>0.1</v>
      </c>
      <c r="N56" s="69" t="str">
        <f t="shared" si="10"/>
        <v/>
      </c>
      <c r="O56" s="74" t="str">
        <f t="shared" si="11"/>
        <v/>
      </c>
    </row>
    <row r="57" spans="2:15" ht="18" customHeight="1" x14ac:dyDescent="0.2">
      <c r="B57" s="64">
        <v>52</v>
      </c>
      <c r="C57" s="67"/>
      <c r="D57" s="67"/>
      <c r="E57" s="67"/>
      <c r="F57" s="67"/>
      <c r="G57" s="67"/>
      <c r="H57" s="69" t="str">
        <f t="shared" si="7"/>
        <v/>
      </c>
      <c r="I57" s="75"/>
      <c r="J57" s="100" t="str">
        <f t="shared" si="12"/>
        <v/>
      </c>
      <c r="K57" s="72" t="str">
        <f t="shared" si="8"/>
        <v/>
      </c>
      <c r="L57" s="74" t="str">
        <f t="shared" si="9"/>
        <v/>
      </c>
      <c r="M57" s="75">
        <f>'🏠 INICIO'!C8</f>
        <v>0.1</v>
      </c>
      <c r="N57" s="69" t="str">
        <f t="shared" si="10"/>
        <v/>
      </c>
      <c r="O57" s="74" t="str">
        <f t="shared" si="11"/>
        <v/>
      </c>
    </row>
    <row r="58" spans="2:15" ht="18" customHeight="1" x14ac:dyDescent="0.2">
      <c r="B58" s="51">
        <v>53</v>
      </c>
      <c r="C58" s="67"/>
      <c r="D58" s="67"/>
      <c r="E58" s="67"/>
      <c r="F58" s="67"/>
      <c r="G58" s="67"/>
      <c r="H58" s="69" t="str">
        <f t="shared" si="7"/>
        <v/>
      </c>
      <c r="I58" s="75"/>
      <c r="J58" s="100" t="str">
        <f t="shared" si="12"/>
        <v/>
      </c>
      <c r="K58" s="72" t="str">
        <f t="shared" si="8"/>
        <v/>
      </c>
      <c r="L58" s="74" t="str">
        <f t="shared" si="9"/>
        <v/>
      </c>
      <c r="M58" s="75">
        <f>'🏠 INICIO'!C8</f>
        <v>0.1</v>
      </c>
      <c r="N58" s="69" t="str">
        <f t="shared" si="10"/>
        <v/>
      </c>
      <c r="O58" s="74" t="str">
        <f t="shared" si="11"/>
        <v/>
      </c>
    </row>
    <row r="59" spans="2:15" ht="18" customHeight="1" x14ac:dyDescent="0.2">
      <c r="B59" s="64">
        <v>54</v>
      </c>
      <c r="C59" s="67"/>
      <c r="D59" s="67"/>
      <c r="E59" s="67"/>
      <c r="F59" s="67"/>
      <c r="G59" s="67"/>
      <c r="H59" s="69" t="str">
        <f t="shared" si="7"/>
        <v/>
      </c>
      <c r="I59" s="75"/>
      <c r="J59" s="100" t="str">
        <f t="shared" si="12"/>
        <v/>
      </c>
      <c r="K59" s="72" t="str">
        <f t="shared" si="8"/>
        <v/>
      </c>
      <c r="L59" s="74" t="str">
        <f t="shared" si="9"/>
        <v/>
      </c>
      <c r="M59" s="75">
        <f>'🏠 INICIO'!C8</f>
        <v>0.1</v>
      </c>
      <c r="N59" s="69" t="str">
        <f t="shared" si="10"/>
        <v/>
      </c>
      <c r="O59" s="74" t="str">
        <f t="shared" si="11"/>
        <v/>
      </c>
    </row>
    <row r="60" spans="2:15" ht="18" customHeight="1" x14ac:dyDescent="0.2">
      <c r="B60" s="51">
        <v>55</v>
      </c>
      <c r="C60" s="67"/>
      <c r="D60" s="67"/>
      <c r="E60" s="67"/>
      <c r="F60" s="67"/>
      <c r="G60" s="67"/>
      <c r="H60" s="69" t="str">
        <f t="shared" si="7"/>
        <v/>
      </c>
      <c r="I60" s="75"/>
      <c r="J60" s="100" t="str">
        <f t="shared" si="12"/>
        <v/>
      </c>
      <c r="K60" s="72" t="str">
        <f t="shared" si="8"/>
        <v/>
      </c>
      <c r="L60" s="74" t="str">
        <f t="shared" si="9"/>
        <v/>
      </c>
      <c r="M60" s="75">
        <f>'🏠 INICIO'!C8</f>
        <v>0.1</v>
      </c>
      <c r="N60" s="69" t="str">
        <f t="shared" si="10"/>
        <v/>
      </c>
      <c r="O60" s="74" t="str">
        <f t="shared" si="11"/>
        <v/>
      </c>
    </row>
    <row r="61" spans="2:15" ht="18" customHeight="1" x14ac:dyDescent="0.2">
      <c r="B61" s="64">
        <v>56</v>
      </c>
      <c r="C61" s="67"/>
      <c r="D61" s="67"/>
      <c r="E61" s="67"/>
      <c r="F61" s="67"/>
      <c r="G61" s="67"/>
      <c r="H61" s="69" t="str">
        <f t="shared" si="7"/>
        <v/>
      </c>
      <c r="I61" s="75"/>
      <c r="J61" s="100" t="str">
        <f t="shared" si="12"/>
        <v/>
      </c>
      <c r="K61" s="72" t="str">
        <f t="shared" si="8"/>
        <v/>
      </c>
      <c r="L61" s="74" t="str">
        <f t="shared" si="9"/>
        <v/>
      </c>
      <c r="M61" s="75">
        <f>'🏠 INICIO'!C8</f>
        <v>0.1</v>
      </c>
      <c r="N61" s="69" t="str">
        <f t="shared" si="10"/>
        <v/>
      </c>
      <c r="O61" s="74" t="str">
        <f t="shared" si="11"/>
        <v/>
      </c>
    </row>
    <row r="62" spans="2:15" ht="18" customHeight="1" x14ac:dyDescent="0.2">
      <c r="B62" s="51">
        <v>57</v>
      </c>
      <c r="C62" s="67"/>
      <c r="D62" s="67"/>
      <c r="E62" s="67"/>
      <c r="F62" s="67"/>
      <c r="G62" s="67"/>
      <c r="H62" s="69" t="str">
        <f t="shared" si="7"/>
        <v/>
      </c>
      <c r="I62" s="75"/>
      <c r="J62" s="100" t="str">
        <f t="shared" si="12"/>
        <v/>
      </c>
      <c r="K62" s="72" t="str">
        <f t="shared" si="8"/>
        <v/>
      </c>
      <c r="L62" s="74" t="str">
        <f t="shared" si="9"/>
        <v/>
      </c>
      <c r="M62" s="75">
        <f>'🏠 INICIO'!C8</f>
        <v>0.1</v>
      </c>
      <c r="N62" s="69" t="str">
        <f t="shared" si="10"/>
        <v/>
      </c>
      <c r="O62" s="74" t="str">
        <f t="shared" si="11"/>
        <v/>
      </c>
    </row>
    <row r="63" spans="2:15" ht="18" customHeight="1" x14ac:dyDescent="0.2">
      <c r="B63" s="64">
        <v>58</v>
      </c>
      <c r="C63" s="67"/>
      <c r="D63" s="67"/>
      <c r="E63" s="67"/>
      <c r="F63" s="67"/>
      <c r="G63" s="67"/>
      <c r="H63" s="69" t="str">
        <f t="shared" si="7"/>
        <v/>
      </c>
      <c r="I63" s="75"/>
      <c r="J63" s="100" t="str">
        <f t="shared" si="12"/>
        <v/>
      </c>
      <c r="K63" s="72" t="str">
        <f t="shared" si="8"/>
        <v/>
      </c>
      <c r="L63" s="74" t="str">
        <f t="shared" si="9"/>
        <v/>
      </c>
      <c r="M63" s="75">
        <f>'🏠 INICIO'!C8</f>
        <v>0.1</v>
      </c>
      <c r="N63" s="69" t="str">
        <f t="shared" si="10"/>
        <v/>
      </c>
      <c r="O63" s="74" t="str">
        <f t="shared" si="11"/>
        <v/>
      </c>
    </row>
    <row r="64" spans="2:15" ht="18" customHeight="1" x14ac:dyDescent="0.2">
      <c r="B64" s="51">
        <v>59</v>
      </c>
      <c r="C64" s="67"/>
      <c r="D64" s="67"/>
      <c r="E64" s="67"/>
      <c r="F64" s="67"/>
      <c r="G64" s="67"/>
      <c r="H64" s="69" t="str">
        <f t="shared" si="7"/>
        <v/>
      </c>
      <c r="I64" s="75"/>
      <c r="J64" s="100" t="str">
        <f t="shared" si="12"/>
        <v/>
      </c>
      <c r="K64" s="72" t="str">
        <f t="shared" si="8"/>
        <v/>
      </c>
      <c r="L64" s="74" t="str">
        <f t="shared" si="9"/>
        <v/>
      </c>
      <c r="M64" s="75">
        <f>'🏠 INICIO'!C8</f>
        <v>0.1</v>
      </c>
      <c r="N64" s="69" t="str">
        <f t="shared" si="10"/>
        <v/>
      </c>
      <c r="O64" s="74" t="str">
        <f t="shared" si="11"/>
        <v/>
      </c>
    </row>
    <row r="65" spans="2:15" ht="18" customHeight="1" x14ac:dyDescent="0.2">
      <c r="B65" s="64">
        <v>60</v>
      </c>
      <c r="C65" s="67"/>
      <c r="D65" s="67"/>
      <c r="E65" s="67"/>
      <c r="F65" s="67"/>
      <c r="G65" s="67"/>
      <c r="H65" s="69" t="str">
        <f t="shared" si="7"/>
        <v/>
      </c>
      <c r="I65" s="75"/>
      <c r="J65" s="100" t="str">
        <f t="shared" si="12"/>
        <v/>
      </c>
      <c r="K65" s="72" t="str">
        <f t="shared" si="8"/>
        <v/>
      </c>
      <c r="L65" s="74" t="str">
        <f t="shared" si="9"/>
        <v/>
      </c>
      <c r="M65" s="75">
        <f>'🏠 INICIO'!C8</f>
        <v>0.1</v>
      </c>
      <c r="N65" s="69" t="str">
        <f t="shared" si="10"/>
        <v/>
      </c>
      <c r="O65" s="74" t="str">
        <f t="shared" si="11"/>
        <v/>
      </c>
    </row>
    <row r="66" spans="2:15" ht="18" customHeight="1" x14ac:dyDescent="0.2">
      <c r="B66" s="51">
        <v>61</v>
      </c>
      <c r="C66" s="67"/>
      <c r="D66" s="67"/>
      <c r="E66" s="67"/>
      <c r="F66" s="67"/>
      <c r="G66" s="67"/>
      <c r="H66" s="69" t="str">
        <f t="shared" si="7"/>
        <v/>
      </c>
      <c r="I66" s="75"/>
      <c r="J66" s="100" t="str">
        <f t="shared" si="12"/>
        <v/>
      </c>
      <c r="K66" s="72" t="str">
        <f t="shared" si="8"/>
        <v/>
      </c>
      <c r="L66" s="74" t="str">
        <f t="shared" si="9"/>
        <v/>
      </c>
      <c r="M66" s="75">
        <f>'🏠 INICIO'!C8</f>
        <v>0.1</v>
      </c>
      <c r="N66" s="69" t="str">
        <f t="shared" si="10"/>
        <v/>
      </c>
      <c r="O66" s="74" t="str">
        <f t="shared" si="11"/>
        <v/>
      </c>
    </row>
    <row r="67" spans="2:15" ht="18" customHeight="1" x14ac:dyDescent="0.2">
      <c r="B67" s="64">
        <v>62</v>
      </c>
      <c r="C67" s="67"/>
      <c r="D67" s="67"/>
      <c r="E67" s="67"/>
      <c r="F67" s="67"/>
      <c r="G67" s="67"/>
      <c r="H67" s="69" t="str">
        <f t="shared" si="7"/>
        <v/>
      </c>
      <c r="I67" s="75"/>
      <c r="J67" s="100" t="str">
        <f t="shared" si="12"/>
        <v/>
      </c>
      <c r="K67" s="72" t="str">
        <f t="shared" si="8"/>
        <v/>
      </c>
      <c r="L67" s="74" t="str">
        <f t="shared" si="9"/>
        <v/>
      </c>
      <c r="M67" s="75">
        <f>'🏠 INICIO'!C8</f>
        <v>0.1</v>
      </c>
      <c r="N67" s="69" t="str">
        <f t="shared" si="10"/>
        <v/>
      </c>
      <c r="O67" s="74" t="str">
        <f t="shared" si="11"/>
        <v/>
      </c>
    </row>
    <row r="68" spans="2:15" ht="18" customHeight="1" x14ac:dyDescent="0.2">
      <c r="B68" s="51">
        <v>63</v>
      </c>
      <c r="C68" s="67"/>
      <c r="D68" s="67"/>
      <c r="E68" s="67"/>
      <c r="F68" s="67"/>
      <c r="G68" s="67"/>
      <c r="H68" s="69" t="str">
        <f t="shared" si="7"/>
        <v/>
      </c>
      <c r="I68" s="75"/>
      <c r="J68" s="100" t="str">
        <f t="shared" si="12"/>
        <v/>
      </c>
      <c r="K68" s="72" t="str">
        <f t="shared" si="8"/>
        <v/>
      </c>
      <c r="L68" s="74" t="str">
        <f t="shared" si="9"/>
        <v/>
      </c>
      <c r="M68" s="75">
        <f>'🏠 INICIO'!C8</f>
        <v>0.1</v>
      </c>
      <c r="N68" s="69" t="str">
        <f t="shared" si="10"/>
        <v/>
      </c>
      <c r="O68" s="74" t="str">
        <f t="shared" si="11"/>
        <v/>
      </c>
    </row>
    <row r="69" spans="2:15" ht="18" customHeight="1" x14ac:dyDescent="0.2">
      <c r="B69" s="64">
        <v>64</v>
      </c>
      <c r="C69" s="67"/>
      <c r="D69" s="67"/>
      <c r="E69" s="67"/>
      <c r="F69" s="67"/>
      <c r="G69" s="67"/>
      <c r="H69" s="69" t="str">
        <f t="shared" si="7"/>
        <v/>
      </c>
      <c r="I69" s="75"/>
      <c r="J69" s="100" t="str">
        <f t="shared" si="12"/>
        <v/>
      </c>
      <c r="K69" s="72" t="str">
        <f t="shared" si="8"/>
        <v/>
      </c>
      <c r="L69" s="74" t="str">
        <f t="shared" si="9"/>
        <v/>
      </c>
      <c r="M69" s="75">
        <f>'🏠 INICIO'!C8</f>
        <v>0.1</v>
      </c>
      <c r="N69" s="69" t="str">
        <f t="shared" si="10"/>
        <v/>
      </c>
      <c r="O69" s="74" t="str">
        <f t="shared" si="11"/>
        <v/>
      </c>
    </row>
    <row r="70" spans="2:15" ht="18" customHeight="1" x14ac:dyDescent="0.2">
      <c r="B70" s="51">
        <v>65</v>
      </c>
      <c r="C70" s="67"/>
      <c r="D70" s="67"/>
      <c r="E70" s="67"/>
      <c r="F70" s="67"/>
      <c r="G70" s="67"/>
      <c r="H70" s="69" t="str">
        <f t="shared" ref="H70:H101" si="13">IF(F70&lt;&gt;"",F70+G70,"")</f>
        <v/>
      </c>
      <c r="I70" s="75"/>
      <c r="J70" s="100" t="str">
        <f t="shared" si="12"/>
        <v/>
      </c>
      <c r="K70" s="72" t="str">
        <f t="shared" ref="K70:K105" si="14">IF(F70&lt;&gt;"",F70+G70,"")</f>
        <v/>
      </c>
      <c r="L70" s="74" t="str">
        <f t="shared" ref="L70:L101" si="15">IF(J70&lt;&gt;"",J70-K70,"")</f>
        <v/>
      </c>
      <c r="M70" s="75">
        <f>'🏠 INICIO'!C8</f>
        <v>0.1</v>
      </c>
      <c r="N70" s="69" t="str">
        <f t="shared" ref="N70:N101" si="16">IF(J70&lt;&gt;"",J70*M70,"")</f>
        <v/>
      </c>
      <c r="O70" s="74" t="str">
        <f t="shared" ref="O70:O101" si="17">IF(L70&lt;&gt;"",L70-N70,"")</f>
        <v/>
      </c>
    </row>
    <row r="71" spans="2:15" ht="18" customHeight="1" x14ac:dyDescent="0.2">
      <c r="B71" s="64">
        <v>66</v>
      </c>
      <c r="C71" s="67"/>
      <c r="D71" s="67"/>
      <c r="E71" s="67"/>
      <c r="F71" s="67"/>
      <c r="G71" s="67"/>
      <c r="H71" s="69" t="str">
        <f t="shared" si="13"/>
        <v/>
      </c>
      <c r="I71" s="75"/>
      <c r="J71" s="100" t="str">
        <f t="shared" si="12"/>
        <v/>
      </c>
      <c r="K71" s="72" t="str">
        <f t="shared" si="14"/>
        <v/>
      </c>
      <c r="L71" s="74" t="str">
        <f t="shared" si="15"/>
        <v/>
      </c>
      <c r="M71" s="75">
        <f>'🏠 INICIO'!C8</f>
        <v>0.1</v>
      </c>
      <c r="N71" s="69" t="str">
        <f t="shared" si="16"/>
        <v/>
      </c>
      <c r="O71" s="74" t="str">
        <f t="shared" si="17"/>
        <v/>
      </c>
    </row>
    <row r="72" spans="2:15" ht="18" customHeight="1" x14ac:dyDescent="0.2">
      <c r="B72" s="51">
        <v>67</v>
      </c>
      <c r="C72" s="67"/>
      <c r="D72" s="67"/>
      <c r="E72" s="67"/>
      <c r="F72" s="67"/>
      <c r="G72" s="67"/>
      <c r="H72" s="69" t="str">
        <f t="shared" si="13"/>
        <v/>
      </c>
      <c r="I72" s="75"/>
      <c r="J72" s="100" t="str">
        <f t="shared" si="12"/>
        <v/>
      </c>
      <c r="K72" s="72" t="str">
        <f t="shared" si="14"/>
        <v/>
      </c>
      <c r="L72" s="74" t="str">
        <f t="shared" si="15"/>
        <v/>
      </c>
      <c r="M72" s="75">
        <f>'🏠 INICIO'!C8</f>
        <v>0.1</v>
      </c>
      <c r="N72" s="69" t="str">
        <f t="shared" si="16"/>
        <v/>
      </c>
      <c r="O72" s="74" t="str">
        <f t="shared" si="17"/>
        <v/>
      </c>
    </row>
    <row r="73" spans="2:15" ht="18" customHeight="1" x14ac:dyDescent="0.2">
      <c r="B73" s="64">
        <v>68</v>
      </c>
      <c r="C73" s="67"/>
      <c r="D73" s="67"/>
      <c r="E73" s="67"/>
      <c r="F73" s="67"/>
      <c r="G73" s="67"/>
      <c r="H73" s="69" t="str">
        <f t="shared" si="13"/>
        <v/>
      </c>
      <c r="I73" s="75"/>
      <c r="J73" s="100" t="str">
        <f t="shared" si="12"/>
        <v/>
      </c>
      <c r="K73" s="72" t="str">
        <f t="shared" si="14"/>
        <v/>
      </c>
      <c r="L73" s="74" t="str">
        <f t="shared" si="15"/>
        <v/>
      </c>
      <c r="M73" s="75">
        <f>'🏠 INICIO'!C8</f>
        <v>0.1</v>
      </c>
      <c r="N73" s="69" t="str">
        <f t="shared" si="16"/>
        <v/>
      </c>
      <c r="O73" s="74" t="str">
        <f t="shared" si="17"/>
        <v/>
      </c>
    </row>
    <row r="74" spans="2:15" ht="18" customHeight="1" x14ac:dyDescent="0.2">
      <c r="B74" s="51">
        <v>69</v>
      </c>
      <c r="C74" s="67"/>
      <c r="D74" s="67"/>
      <c r="E74" s="67"/>
      <c r="F74" s="67"/>
      <c r="G74" s="67"/>
      <c r="H74" s="69" t="str">
        <f t="shared" si="13"/>
        <v/>
      </c>
      <c r="I74" s="75"/>
      <c r="J74" s="100" t="str">
        <f t="shared" si="12"/>
        <v/>
      </c>
      <c r="K74" s="72" t="str">
        <f t="shared" si="14"/>
        <v/>
      </c>
      <c r="L74" s="74" t="str">
        <f t="shared" si="15"/>
        <v/>
      </c>
      <c r="M74" s="75">
        <f>'🏠 INICIO'!C8</f>
        <v>0.1</v>
      </c>
      <c r="N74" s="69" t="str">
        <f t="shared" si="16"/>
        <v/>
      </c>
      <c r="O74" s="74" t="str">
        <f t="shared" si="17"/>
        <v/>
      </c>
    </row>
    <row r="75" spans="2:15" ht="18" customHeight="1" x14ac:dyDescent="0.2">
      <c r="B75" s="64">
        <v>70</v>
      </c>
      <c r="C75" s="67"/>
      <c r="D75" s="67"/>
      <c r="E75" s="67"/>
      <c r="F75" s="67"/>
      <c r="G75" s="67"/>
      <c r="H75" s="69" t="str">
        <f t="shared" si="13"/>
        <v/>
      </c>
      <c r="I75" s="75"/>
      <c r="J75" s="100" t="str">
        <f t="shared" si="12"/>
        <v/>
      </c>
      <c r="K75" s="72" t="str">
        <f t="shared" si="14"/>
        <v/>
      </c>
      <c r="L75" s="74" t="str">
        <f t="shared" si="15"/>
        <v/>
      </c>
      <c r="M75" s="75">
        <f>'🏠 INICIO'!C8</f>
        <v>0.1</v>
      </c>
      <c r="N75" s="69" t="str">
        <f t="shared" si="16"/>
        <v/>
      </c>
      <c r="O75" s="74" t="str">
        <f t="shared" si="17"/>
        <v/>
      </c>
    </row>
    <row r="76" spans="2:15" ht="18" customHeight="1" x14ac:dyDescent="0.2">
      <c r="B76" s="51">
        <v>71</v>
      </c>
      <c r="C76" s="67"/>
      <c r="D76" s="67"/>
      <c r="E76" s="67"/>
      <c r="F76" s="67"/>
      <c r="G76" s="67"/>
      <c r="H76" s="69" t="str">
        <f t="shared" si="13"/>
        <v/>
      </c>
      <c r="I76" s="75"/>
      <c r="J76" s="100" t="str">
        <f t="shared" si="12"/>
        <v/>
      </c>
      <c r="K76" s="72" t="str">
        <f t="shared" si="14"/>
        <v/>
      </c>
      <c r="L76" s="74" t="str">
        <f t="shared" si="15"/>
        <v/>
      </c>
      <c r="M76" s="75">
        <f>'🏠 INICIO'!C8</f>
        <v>0.1</v>
      </c>
      <c r="N76" s="69" t="str">
        <f t="shared" si="16"/>
        <v/>
      </c>
      <c r="O76" s="74" t="str">
        <f t="shared" si="17"/>
        <v/>
      </c>
    </row>
    <row r="77" spans="2:15" ht="18" customHeight="1" x14ac:dyDescent="0.2">
      <c r="B77" s="64">
        <v>72</v>
      </c>
      <c r="C77" s="67"/>
      <c r="D77" s="67"/>
      <c r="E77" s="67"/>
      <c r="F77" s="67"/>
      <c r="G77" s="67"/>
      <c r="H77" s="69" t="str">
        <f t="shared" si="13"/>
        <v/>
      </c>
      <c r="I77" s="75"/>
      <c r="J77" s="100" t="str">
        <f t="shared" si="12"/>
        <v/>
      </c>
      <c r="K77" s="72" t="str">
        <f t="shared" si="14"/>
        <v/>
      </c>
      <c r="L77" s="74" t="str">
        <f t="shared" si="15"/>
        <v/>
      </c>
      <c r="M77" s="75">
        <f>'🏠 INICIO'!C8</f>
        <v>0.1</v>
      </c>
      <c r="N77" s="69" t="str">
        <f t="shared" si="16"/>
        <v/>
      </c>
      <c r="O77" s="74" t="str">
        <f t="shared" si="17"/>
        <v/>
      </c>
    </row>
    <row r="78" spans="2:15" ht="18" customHeight="1" x14ac:dyDescent="0.2">
      <c r="B78" s="51">
        <v>73</v>
      </c>
      <c r="C78" s="67"/>
      <c r="D78" s="67"/>
      <c r="E78" s="67"/>
      <c r="F78" s="67"/>
      <c r="G78" s="67"/>
      <c r="H78" s="69" t="str">
        <f t="shared" si="13"/>
        <v/>
      </c>
      <c r="I78" s="75"/>
      <c r="J78" s="100" t="str">
        <f t="shared" si="12"/>
        <v/>
      </c>
      <c r="K78" s="72" t="str">
        <f t="shared" si="14"/>
        <v/>
      </c>
      <c r="L78" s="74" t="str">
        <f t="shared" si="15"/>
        <v/>
      </c>
      <c r="M78" s="75">
        <f>'🏠 INICIO'!C8</f>
        <v>0.1</v>
      </c>
      <c r="N78" s="69" t="str">
        <f t="shared" si="16"/>
        <v/>
      </c>
      <c r="O78" s="74" t="str">
        <f t="shared" si="17"/>
        <v/>
      </c>
    </row>
    <row r="79" spans="2:15" ht="18" customHeight="1" x14ac:dyDescent="0.2">
      <c r="B79" s="64">
        <v>74</v>
      </c>
      <c r="C79" s="67"/>
      <c r="D79" s="67"/>
      <c r="E79" s="67"/>
      <c r="F79" s="67"/>
      <c r="G79" s="67"/>
      <c r="H79" s="69" t="str">
        <f t="shared" si="13"/>
        <v/>
      </c>
      <c r="I79" s="75"/>
      <c r="J79" s="100" t="str">
        <f t="shared" si="12"/>
        <v/>
      </c>
      <c r="K79" s="72" t="str">
        <f t="shared" si="14"/>
        <v/>
      </c>
      <c r="L79" s="74" t="str">
        <f t="shared" si="15"/>
        <v/>
      </c>
      <c r="M79" s="75">
        <f>'🏠 INICIO'!C8</f>
        <v>0.1</v>
      </c>
      <c r="N79" s="69" t="str">
        <f t="shared" si="16"/>
        <v/>
      </c>
      <c r="O79" s="74" t="str">
        <f t="shared" si="17"/>
        <v/>
      </c>
    </row>
    <row r="80" spans="2:15" ht="18" customHeight="1" x14ac:dyDescent="0.2">
      <c r="B80" s="51">
        <v>75</v>
      </c>
      <c r="C80" s="67"/>
      <c r="D80" s="67"/>
      <c r="E80" s="67"/>
      <c r="F80" s="67"/>
      <c r="G80" s="67"/>
      <c r="H80" s="69" t="str">
        <f t="shared" si="13"/>
        <v/>
      </c>
      <c r="I80" s="75"/>
      <c r="J80" s="100" t="str">
        <f t="shared" si="12"/>
        <v/>
      </c>
      <c r="K80" s="72" t="str">
        <f t="shared" si="14"/>
        <v/>
      </c>
      <c r="L80" s="74" t="str">
        <f t="shared" si="15"/>
        <v/>
      </c>
      <c r="M80" s="75">
        <f>'🏠 INICIO'!C8</f>
        <v>0.1</v>
      </c>
      <c r="N80" s="69" t="str">
        <f t="shared" si="16"/>
        <v/>
      </c>
      <c r="O80" s="74" t="str">
        <f t="shared" si="17"/>
        <v/>
      </c>
    </row>
    <row r="81" spans="2:15" ht="18" customHeight="1" x14ac:dyDescent="0.2">
      <c r="B81" s="64">
        <v>76</v>
      </c>
      <c r="C81" s="67"/>
      <c r="D81" s="67"/>
      <c r="E81" s="67"/>
      <c r="F81" s="67"/>
      <c r="G81" s="67"/>
      <c r="H81" s="69" t="str">
        <f t="shared" si="13"/>
        <v/>
      </c>
      <c r="I81" s="75"/>
      <c r="J81" s="100" t="str">
        <f t="shared" si="12"/>
        <v/>
      </c>
      <c r="K81" s="72" t="str">
        <f t="shared" si="14"/>
        <v/>
      </c>
      <c r="L81" s="74" t="str">
        <f t="shared" si="15"/>
        <v/>
      </c>
      <c r="M81" s="75">
        <f>'🏠 INICIO'!C8</f>
        <v>0.1</v>
      </c>
      <c r="N81" s="69" t="str">
        <f t="shared" si="16"/>
        <v/>
      </c>
      <c r="O81" s="74" t="str">
        <f t="shared" si="17"/>
        <v/>
      </c>
    </row>
    <row r="82" spans="2:15" ht="18" customHeight="1" x14ac:dyDescent="0.2">
      <c r="B82" s="51">
        <v>77</v>
      </c>
      <c r="C82" s="67"/>
      <c r="D82" s="67"/>
      <c r="E82" s="67"/>
      <c r="F82" s="67"/>
      <c r="G82" s="67"/>
      <c r="H82" s="69" t="str">
        <f t="shared" si="13"/>
        <v/>
      </c>
      <c r="I82" s="75"/>
      <c r="J82" s="100" t="str">
        <f t="shared" si="12"/>
        <v/>
      </c>
      <c r="K82" s="72" t="str">
        <f t="shared" si="14"/>
        <v/>
      </c>
      <c r="L82" s="74" t="str">
        <f t="shared" si="15"/>
        <v/>
      </c>
      <c r="M82" s="75">
        <f>'🏠 INICIO'!C8</f>
        <v>0.1</v>
      </c>
      <c r="N82" s="69" t="str">
        <f t="shared" si="16"/>
        <v/>
      </c>
      <c r="O82" s="74" t="str">
        <f t="shared" si="17"/>
        <v/>
      </c>
    </row>
    <row r="83" spans="2:15" ht="18" customHeight="1" x14ac:dyDescent="0.2">
      <c r="B83" s="64">
        <v>78</v>
      </c>
      <c r="C83" s="67"/>
      <c r="D83" s="67"/>
      <c r="E83" s="67"/>
      <c r="F83" s="67"/>
      <c r="G83" s="67"/>
      <c r="H83" s="69" t="str">
        <f t="shared" si="13"/>
        <v/>
      </c>
      <c r="I83" s="75"/>
      <c r="J83" s="100" t="str">
        <f t="shared" si="12"/>
        <v/>
      </c>
      <c r="K83" s="72" t="str">
        <f t="shared" si="14"/>
        <v/>
      </c>
      <c r="L83" s="74" t="str">
        <f t="shared" si="15"/>
        <v/>
      </c>
      <c r="M83" s="75">
        <f>'🏠 INICIO'!C8</f>
        <v>0.1</v>
      </c>
      <c r="N83" s="69" t="str">
        <f t="shared" si="16"/>
        <v/>
      </c>
      <c r="O83" s="74" t="str">
        <f t="shared" si="17"/>
        <v/>
      </c>
    </row>
    <row r="84" spans="2:15" ht="18" customHeight="1" x14ac:dyDescent="0.2">
      <c r="B84" s="51">
        <v>79</v>
      </c>
      <c r="C84" s="67"/>
      <c r="D84" s="67"/>
      <c r="E84" s="67"/>
      <c r="F84" s="67"/>
      <c r="G84" s="67"/>
      <c r="H84" s="69" t="str">
        <f t="shared" si="13"/>
        <v/>
      </c>
      <c r="I84" s="75"/>
      <c r="J84" s="100" t="str">
        <f t="shared" si="12"/>
        <v/>
      </c>
      <c r="K84" s="72" t="str">
        <f t="shared" si="14"/>
        <v/>
      </c>
      <c r="L84" s="74" t="str">
        <f t="shared" si="15"/>
        <v/>
      </c>
      <c r="M84" s="75">
        <f>'🏠 INICIO'!C8</f>
        <v>0.1</v>
      </c>
      <c r="N84" s="69" t="str">
        <f t="shared" si="16"/>
        <v/>
      </c>
      <c r="O84" s="74" t="str">
        <f t="shared" si="17"/>
        <v/>
      </c>
    </row>
    <row r="85" spans="2:15" ht="18" customHeight="1" x14ac:dyDescent="0.2">
      <c r="B85" s="64">
        <v>80</v>
      </c>
      <c r="C85" s="67"/>
      <c r="D85" s="67"/>
      <c r="E85" s="67"/>
      <c r="F85" s="67"/>
      <c r="G85" s="67"/>
      <c r="H85" s="69" t="str">
        <f t="shared" si="13"/>
        <v/>
      </c>
      <c r="I85" s="75"/>
      <c r="J85" s="100" t="str">
        <f t="shared" ref="J85:J105" si="18">IF(AND(H85&lt;&gt;"",I85&lt;&gt;0,I85&lt;1),H85/(1-I85),"")</f>
        <v/>
      </c>
      <c r="K85" s="72" t="str">
        <f t="shared" si="14"/>
        <v/>
      </c>
      <c r="L85" s="74" t="str">
        <f t="shared" si="15"/>
        <v/>
      </c>
      <c r="M85" s="75">
        <f>'🏠 INICIO'!C8</f>
        <v>0.1</v>
      </c>
      <c r="N85" s="69" t="str">
        <f t="shared" si="16"/>
        <v/>
      </c>
      <c r="O85" s="74" t="str">
        <f t="shared" si="17"/>
        <v/>
      </c>
    </row>
    <row r="86" spans="2:15" ht="18" customHeight="1" x14ac:dyDescent="0.2">
      <c r="B86" s="51">
        <v>81</v>
      </c>
      <c r="C86" s="67"/>
      <c r="D86" s="67"/>
      <c r="E86" s="67"/>
      <c r="F86" s="67"/>
      <c r="G86" s="67"/>
      <c r="H86" s="69" t="str">
        <f t="shared" si="13"/>
        <v/>
      </c>
      <c r="I86" s="75"/>
      <c r="J86" s="100" t="str">
        <f t="shared" si="18"/>
        <v/>
      </c>
      <c r="K86" s="72" t="str">
        <f t="shared" si="14"/>
        <v/>
      </c>
      <c r="L86" s="74" t="str">
        <f t="shared" si="15"/>
        <v/>
      </c>
      <c r="M86" s="75">
        <f>'🏠 INICIO'!C8</f>
        <v>0.1</v>
      </c>
      <c r="N86" s="69" t="str">
        <f t="shared" si="16"/>
        <v/>
      </c>
      <c r="O86" s="74" t="str">
        <f t="shared" si="17"/>
        <v/>
      </c>
    </row>
    <row r="87" spans="2:15" ht="18" customHeight="1" x14ac:dyDescent="0.2">
      <c r="B87" s="64">
        <v>82</v>
      </c>
      <c r="C87" s="67"/>
      <c r="D87" s="67"/>
      <c r="E87" s="67"/>
      <c r="F87" s="67"/>
      <c r="G87" s="67"/>
      <c r="H87" s="69" t="str">
        <f t="shared" si="13"/>
        <v/>
      </c>
      <c r="I87" s="75"/>
      <c r="J87" s="100" t="str">
        <f t="shared" si="18"/>
        <v/>
      </c>
      <c r="K87" s="72" t="str">
        <f t="shared" si="14"/>
        <v/>
      </c>
      <c r="L87" s="74" t="str">
        <f t="shared" si="15"/>
        <v/>
      </c>
      <c r="M87" s="75">
        <f>'🏠 INICIO'!C8</f>
        <v>0.1</v>
      </c>
      <c r="N87" s="69" t="str">
        <f t="shared" si="16"/>
        <v/>
      </c>
      <c r="O87" s="74" t="str">
        <f t="shared" si="17"/>
        <v/>
      </c>
    </row>
    <row r="88" spans="2:15" ht="18" customHeight="1" x14ac:dyDescent="0.2">
      <c r="B88" s="51">
        <v>83</v>
      </c>
      <c r="C88" s="67"/>
      <c r="D88" s="67"/>
      <c r="E88" s="67"/>
      <c r="F88" s="67"/>
      <c r="G88" s="67"/>
      <c r="H88" s="69" t="str">
        <f t="shared" si="13"/>
        <v/>
      </c>
      <c r="I88" s="75"/>
      <c r="J88" s="100" t="str">
        <f t="shared" si="18"/>
        <v/>
      </c>
      <c r="K88" s="72" t="str">
        <f t="shared" si="14"/>
        <v/>
      </c>
      <c r="L88" s="74" t="str">
        <f t="shared" si="15"/>
        <v/>
      </c>
      <c r="M88" s="75">
        <f>'🏠 INICIO'!C8</f>
        <v>0.1</v>
      </c>
      <c r="N88" s="69" t="str">
        <f t="shared" si="16"/>
        <v/>
      </c>
      <c r="O88" s="74" t="str">
        <f t="shared" si="17"/>
        <v/>
      </c>
    </row>
    <row r="89" spans="2:15" ht="18" customHeight="1" x14ac:dyDescent="0.2">
      <c r="B89" s="64">
        <v>84</v>
      </c>
      <c r="C89" s="67"/>
      <c r="D89" s="67"/>
      <c r="E89" s="67"/>
      <c r="F89" s="67"/>
      <c r="G89" s="67"/>
      <c r="H89" s="69" t="str">
        <f t="shared" si="13"/>
        <v/>
      </c>
      <c r="I89" s="75"/>
      <c r="J89" s="100" t="str">
        <f t="shared" si="18"/>
        <v/>
      </c>
      <c r="K89" s="72" t="str">
        <f t="shared" si="14"/>
        <v/>
      </c>
      <c r="L89" s="74" t="str">
        <f t="shared" si="15"/>
        <v/>
      </c>
      <c r="M89" s="75">
        <f>'🏠 INICIO'!C8</f>
        <v>0.1</v>
      </c>
      <c r="N89" s="69" t="str">
        <f t="shared" si="16"/>
        <v/>
      </c>
      <c r="O89" s="74" t="str">
        <f t="shared" si="17"/>
        <v/>
      </c>
    </row>
    <row r="90" spans="2:15" ht="18" customHeight="1" x14ac:dyDescent="0.2">
      <c r="B90" s="51">
        <v>85</v>
      </c>
      <c r="C90" s="67"/>
      <c r="D90" s="67"/>
      <c r="E90" s="67"/>
      <c r="F90" s="67"/>
      <c r="G90" s="67"/>
      <c r="H90" s="69" t="str">
        <f t="shared" si="13"/>
        <v/>
      </c>
      <c r="I90" s="75"/>
      <c r="J90" s="100" t="str">
        <f t="shared" si="18"/>
        <v/>
      </c>
      <c r="K90" s="72" t="str">
        <f t="shared" si="14"/>
        <v/>
      </c>
      <c r="L90" s="74" t="str">
        <f t="shared" si="15"/>
        <v/>
      </c>
      <c r="M90" s="75">
        <f>'🏠 INICIO'!C8</f>
        <v>0.1</v>
      </c>
      <c r="N90" s="69" t="str">
        <f t="shared" si="16"/>
        <v/>
      </c>
      <c r="O90" s="74" t="str">
        <f t="shared" si="17"/>
        <v/>
      </c>
    </row>
    <row r="91" spans="2:15" ht="18" customHeight="1" x14ac:dyDescent="0.2">
      <c r="B91" s="64">
        <v>86</v>
      </c>
      <c r="C91" s="67"/>
      <c r="D91" s="67"/>
      <c r="E91" s="67"/>
      <c r="F91" s="67"/>
      <c r="G91" s="67"/>
      <c r="H91" s="69" t="str">
        <f t="shared" si="13"/>
        <v/>
      </c>
      <c r="I91" s="75"/>
      <c r="J91" s="100" t="str">
        <f t="shared" si="18"/>
        <v/>
      </c>
      <c r="K91" s="72" t="str">
        <f t="shared" si="14"/>
        <v/>
      </c>
      <c r="L91" s="74" t="str">
        <f t="shared" si="15"/>
        <v/>
      </c>
      <c r="M91" s="75">
        <f>'🏠 INICIO'!C8</f>
        <v>0.1</v>
      </c>
      <c r="N91" s="69" t="str">
        <f t="shared" si="16"/>
        <v/>
      </c>
      <c r="O91" s="74" t="str">
        <f t="shared" si="17"/>
        <v/>
      </c>
    </row>
    <row r="92" spans="2:15" ht="18" customHeight="1" x14ac:dyDescent="0.2">
      <c r="B92" s="51">
        <v>87</v>
      </c>
      <c r="C92" s="67"/>
      <c r="D92" s="67"/>
      <c r="E92" s="67"/>
      <c r="F92" s="67"/>
      <c r="G92" s="67"/>
      <c r="H92" s="69" t="str">
        <f t="shared" si="13"/>
        <v/>
      </c>
      <c r="I92" s="75"/>
      <c r="J92" s="100" t="str">
        <f t="shared" si="18"/>
        <v/>
      </c>
      <c r="K92" s="72" t="str">
        <f t="shared" si="14"/>
        <v/>
      </c>
      <c r="L92" s="74" t="str">
        <f t="shared" si="15"/>
        <v/>
      </c>
      <c r="M92" s="75">
        <f>'🏠 INICIO'!C8</f>
        <v>0.1</v>
      </c>
      <c r="N92" s="69" t="str">
        <f t="shared" si="16"/>
        <v/>
      </c>
      <c r="O92" s="74" t="str">
        <f t="shared" si="17"/>
        <v/>
      </c>
    </row>
    <row r="93" spans="2:15" ht="18" customHeight="1" x14ac:dyDescent="0.2">
      <c r="B93" s="64">
        <v>88</v>
      </c>
      <c r="C93" s="67"/>
      <c r="D93" s="67"/>
      <c r="E93" s="67"/>
      <c r="F93" s="67"/>
      <c r="G93" s="67"/>
      <c r="H93" s="69" t="str">
        <f t="shared" si="13"/>
        <v/>
      </c>
      <c r="I93" s="75"/>
      <c r="J93" s="100" t="str">
        <f t="shared" si="18"/>
        <v/>
      </c>
      <c r="K93" s="72" t="str">
        <f t="shared" si="14"/>
        <v/>
      </c>
      <c r="L93" s="74" t="str">
        <f t="shared" si="15"/>
        <v/>
      </c>
      <c r="M93" s="75">
        <f>'🏠 INICIO'!C8</f>
        <v>0.1</v>
      </c>
      <c r="N93" s="69" t="str">
        <f t="shared" si="16"/>
        <v/>
      </c>
      <c r="O93" s="74" t="str">
        <f t="shared" si="17"/>
        <v/>
      </c>
    </row>
    <row r="94" spans="2:15" ht="18" customHeight="1" x14ac:dyDescent="0.2">
      <c r="B94" s="51">
        <v>89</v>
      </c>
      <c r="C94" s="67"/>
      <c r="D94" s="67"/>
      <c r="E94" s="67"/>
      <c r="F94" s="67"/>
      <c r="G94" s="67"/>
      <c r="H94" s="69" t="str">
        <f t="shared" si="13"/>
        <v/>
      </c>
      <c r="I94" s="75"/>
      <c r="J94" s="100" t="str">
        <f t="shared" si="18"/>
        <v/>
      </c>
      <c r="K94" s="72" t="str">
        <f t="shared" si="14"/>
        <v/>
      </c>
      <c r="L94" s="74" t="str">
        <f t="shared" si="15"/>
        <v/>
      </c>
      <c r="M94" s="75">
        <f>'🏠 INICIO'!C8</f>
        <v>0.1</v>
      </c>
      <c r="N94" s="69" t="str">
        <f t="shared" si="16"/>
        <v/>
      </c>
      <c r="O94" s="74" t="str">
        <f t="shared" si="17"/>
        <v/>
      </c>
    </row>
    <row r="95" spans="2:15" ht="18" customHeight="1" x14ac:dyDescent="0.2">
      <c r="B95" s="64">
        <v>90</v>
      </c>
      <c r="C95" s="67"/>
      <c r="D95" s="67"/>
      <c r="E95" s="67"/>
      <c r="F95" s="67"/>
      <c r="G95" s="67"/>
      <c r="H95" s="69" t="str">
        <f t="shared" si="13"/>
        <v/>
      </c>
      <c r="I95" s="75"/>
      <c r="J95" s="100" t="str">
        <f t="shared" si="18"/>
        <v/>
      </c>
      <c r="K95" s="72" t="str">
        <f t="shared" si="14"/>
        <v/>
      </c>
      <c r="L95" s="74" t="str">
        <f t="shared" si="15"/>
        <v/>
      </c>
      <c r="M95" s="75">
        <f>'🏠 INICIO'!C8</f>
        <v>0.1</v>
      </c>
      <c r="N95" s="69" t="str">
        <f t="shared" si="16"/>
        <v/>
      </c>
      <c r="O95" s="74" t="str">
        <f t="shared" si="17"/>
        <v/>
      </c>
    </row>
    <row r="96" spans="2:15" ht="18" customHeight="1" x14ac:dyDescent="0.2">
      <c r="B96" s="51">
        <v>91</v>
      </c>
      <c r="C96" s="67"/>
      <c r="D96" s="67"/>
      <c r="E96" s="67"/>
      <c r="F96" s="67"/>
      <c r="G96" s="67"/>
      <c r="H96" s="69" t="str">
        <f t="shared" si="13"/>
        <v/>
      </c>
      <c r="I96" s="75"/>
      <c r="J96" s="100" t="str">
        <f t="shared" si="18"/>
        <v/>
      </c>
      <c r="K96" s="72" t="str">
        <f t="shared" si="14"/>
        <v/>
      </c>
      <c r="L96" s="74" t="str">
        <f t="shared" si="15"/>
        <v/>
      </c>
      <c r="M96" s="75">
        <f>'🏠 INICIO'!C8</f>
        <v>0.1</v>
      </c>
      <c r="N96" s="69" t="str">
        <f t="shared" si="16"/>
        <v/>
      </c>
      <c r="O96" s="74" t="str">
        <f t="shared" si="17"/>
        <v/>
      </c>
    </row>
    <row r="97" spans="2:16" ht="18" customHeight="1" x14ac:dyDescent="0.2">
      <c r="B97" s="64">
        <v>92</v>
      </c>
      <c r="C97" s="67"/>
      <c r="D97" s="67"/>
      <c r="E97" s="67"/>
      <c r="F97" s="67"/>
      <c r="G97" s="67"/>
      <c r="H97" s="69" t="str">
        <f t="shared" si="13"/>
        <v/>
      </c>
      <c r="I97" s="75"/>
      <c r="J97" s="100" t="str">
        <f t="shared" si="18"/>
        <v/>
      </c>
      <c r="K97" s="72" t="str">
        <f t="shared" si="14"/>
        <v/>
      </c>
      <c r="L97" s="74" t="str">
        <f t="shared" si="15"/>
        <v/>
      </c>
      <c r="M97" s="75">
        <f>'🏠 INICIO'!C8</f>
        <v>0.1</v>
      </c>
      <c r="N97" s="69" t="str">
        <f t="shared" si="16"/>
        <v/>
      </c>
      <c r="O97" s="74" t="str">
        <f t="shared" si="17"/>
        <v/>
      </c>
    </row>
    <row r="98" spans="2:16" ht="18" customHeight="1" x14ac:dyDescent="0.2">
      <c r="B98" s="51">
        <v>93</v>
      </c>
      <c r="C98" s="67"/>
      <c r="D98" s="67"/>
      <c r="E98" s="67"/>
      <c r="F98" s="67"/>
      <c r="G98" s="67"/>
      <c r="H98" s="69" t="str">
        <f t="shared" si="13"/>
        <v/>
      </c>
      <c r="I98" s="75"/>
      <c r="J98" s="100" t="str">
        <f t="shared" si="18"/>
        <v/>
      </c>
      <c r="K98" s="72" t="str">
        <f t="shared" si="14"/>
        <v/>
      </c>
      <c r="L98" s="74" t="str">
        <f t="shared" si="15"/>
        <v/>
      </c>
      <c r="M98" s="75">
        <f>'🏠 INICIO'!C8</f>
        <v>0.1</v>
      </c>
      <c r="N98" s="69" t="str">
        <f t="shared" si="16"/>
        <v/>
      </c>
      <c r="O98" s="74" t="str">
        <f t="shared" si="17"/>
        <v/>
      </c>
    </row>
    <row r="99" spans="2:16" ht="18" customHeight="1" x14ac:dyDescent="0.2">
      <c r="B99" s="64">
        <v>94</v>
      </c>
      <c r="C99" s="67"/>
      <c r="D99" s="67"/>
      <c r="E99" s="67"/>
      <c r="F99" s="67"/>
      <c r="G99" s="67"/>
      <c r="H99" s="69" t="str">
        <f t="shared" si="13"/>
        <v/>
      </c>
      <c r="I99" s="75"/>
      <c r="J99" s="100" t="str">
        <f t="shared" si="18"/>
        <v/>
      </c>
      <c r="K99" s="72" t="str">
        <f t="shared" si="14"/>
        <v/>
      </c>
      <c r="L99" s="74" t="str">
        <f t="shared" si="15"/>
        <v/>
      </c>
      <c r="M99" s="75">
        <f>'🏠 INICIO'!C8</f>
        <v>0.1</v>
      </c>
      <c r="N99" s="69" t="str">
        <f t="shared" si="16"/>
        <v/>
      </c>
      <c r="O99" s="74" t="str">
        <f t="shared" si="17"/>
        <v/>
      </c>
    </row>
    <row r="100" spans="2:16" ht="18" customHeight="1" x14ac:dyDescent="0.2">
      <c r="B100" s="51">
        <v>95</v>
      </c>
      <c r="C100" s="67"/>
      <c r="D100" s="67"/>
      <c r="E100" s="67"/>
      <c r="F100" s="67"/>
      <c r="G100" s="67"/>
      <c r="H100" s="69" t="str">
        <f t="shared" si="13"/>
        <v/>
      </c>
      <c r="I100" s="75"/>
      <c r="J100" s="100" t="str">
        <f t="shared" si="18"/>
        <v/>
      </c>
      <c r="K100" s="72" t="str">
        <f t="shared" si="14"/>
        <v/>
      </c>
      <c r="L100" s="74" t="str">
        <f t="shared" si="15"/>
        <v/>
      </c>
      <c r="M100" s="75">
        <f>'🏠 INICIO'!C8</f>
        <v>0.1</v>
      </c>
      <c r="N100" s="69" t="str">
        <f t="shared" si="16"/>
        <v/>
      </c>
      <c r="O100" s="74" t="str">
        <f t="shared" si="17"/>
        <v/>
      </c>
    </row>
    <row r="101" spans="2:16" ht="18" customHeight="1" x14ac:dyDescent="0.2">
      <c r="B101" s="64">
        <v>96</v>
      </c>
      <c r="C101" s="67"/>
      <c r="D101" s="67"/>
      <c r="E101" s="67"/>
      <c r="F101" s="67"/>
      <c r="G101" s="67"/>
      <c r="H101" s="69" t="str">
        <f t="shared" si="13"/>
        <v/>
      </c>
      <c r="I101" s="75"/>
      <c r="J101" s="100" t="str">
        <f t="shared" si="18"/>
        <v/>
      </c>
      <c r="K101" s="72" t="str">
        <f t="shared" si="14"/>
        <v/>
      </c>
      <c r="L101" s="74" t="str">
        <f t="shared" si="15"/>
        <v/>
      </c>
      <c r="M101" s="75">
        <f>'🏠 INICIO'!C8</f>
        <v>0.1</v>
      </c>
      <c r="N101" s="69" t="str">
        <f t="shared" si="16"/>
        <v/>
      </c>
      <c r="O101" s="74" t="str">
        <f t="shared" si="17"/>
        <v/>
      </c>
    </row>
    <row r="102" spans="2:16" ht="18" customHeight="1" x14ac:dyDescent="0.2">
      <c r="B102" s="51">
        <v>97</v>
      </c>
      <c r="C102" s="67"/>
      <c r="D102" s="67"/>
      <c r="E102" s="67"/>
      <c r="F102" s="67"/>
      <c r="G102" s="67"/>
      <c r="H102" s="69" t="str">
        <f t="shared" ref="H102:H105" si="19">IF(F102&lt;&gt;"",F102+G102,"")</f>
        <v/>
      </c>
      <c r="I102" s="75"/>
      <c r="J102" s="100" t="str">
        <f t="shared" si="18"/>
        <v/>
      </c>
      <c r="K102" s="72" t="str">
        <f t="shared" si="14"/>
        <v/>
      </c>
      <c r="L102" s="74" t="str">
        <f t="shared" ref="L102:L105" si="20">IF(J102&lt;&gt;"",J102-K102,"")</f>
        <v/>
      </c>
      <c r="M102" s="75">
        <f>'🏠 INICIO'!C8</f>
        <v>0.1</v>
      </c>
      <c r="N102" s="69" t="str">
        <f t="shared" ref="N102:N105" si="21">IF(J102&lt;&gt;"",J102*M102,"")</f>
        <v/>
      </c>
      <c r="O102" s="74" t="str">
        <f t="shared" ref="O102:O105" si="22">IF(L102&lt;&gt;"",L102-N102,"")</f>
        <v/>
      </c>
    </row>
    <row r="103" spans="2:16" ht="18" customHeight="1" x14ac:dyDescent="0.2">
      <c r="B103" s="64">
        <v>98</v>
      </c>
      <c r="C103" s="67"/>
      <c r="D103" s="67"/>
      <c r="E103" s="67"/>
      <c r="F103" s="67"/>
      <c r="G103" s="67"/>
      <c r="H103" s="69" t="str">
        <f t="shared" si="19"/>
        <v/>
      </c>
      <c r="I103" s="75"/>
      <c r="J103" s="100" t="str">
        <f t="shared" si="18"/>
        <v/>
      </c>
      <c r="K103" s="72" t="str">
        <f t="shared" si="14"/>
        <v/>
      </c>
      <c r="L103" s="74" t="str">
        <f t="shared" si="20"/>
        <v/>
      </c>
      <c r="M103" s="75">
        <f>'🏠 INICIO'!C8</f>
        <v>0.1</v>
      </c>
      <c r="N103" s="69" t="str">
        <f t="shared" si="21"/>
        <v/>
      </c>
      <c r="O103" s="74" t="str">
        <f t="shared" si="22"/>
        <v/>
      </c>
    </row>
    <row r="104" spans="2:16" ht="18" customHeight="1" x14ac:dyDescent="0.2">
      <c r="B104" s="51">
        <v>99</v>
      </c>
      <c r="C104" s="67"/>
      <c r="D104" s="67"/>
      <c r="E104" s="67"/>
      <c r="F104" s="67"/>
      <c r="G104" s="67"/>
      <c r="H104" s="69" t="str">
        <f t="shared" si="19"/>
        <v/>
      </c>
      <c r="I104" s="75"/>
      <c r="J104" s="100" t="str">
        <f t="shared" si="18"/>
        <v/>
      </c>
      <c r="K104" s="72" t="str">
        <f t="shared" si="14"/>
        <v/>
      </c>
      <c r="L104" s="74" t="str">
        <f t="shared" si="20"/>
        <v/>
      </c>
      <c r="M104" s="75">
        <f>'🏠 INICIO'!C8</f>
        <v>0.1</v>
      </c>
      <c r="N104" s="69" t="str">
        <f t="shared" si="21"/>
        <v/>
      </c>
      <c r="O104" s="74" t="str">
        <f t="shared" si="22"/>
        <v/>
      </c>
    </row>
    <row r="105" spans="2:16" ht="18" customHeight="1" x14ac:dyDescent="0.2">
      <c r="B105" s="64">
        <v>100</v>
      </c>
      <c r="C105" s="67"/>
      <c r="D105" s="67"/>
      <c r="E105" s="67"/>
      <c r="F105" s="67"/>
      <c r="G105" s="67"/>
      <c r="H105" s="69" t="str">
        <f t="shared" si="19"/>
        <v/>
      </c>
      <c r="I105" s="75"/>
      <c r="J105" s="100" t="str">
        <f t="shared" si="18"/>
        <v/>
      </c>
      <c r="K105" s="72" t="str">
        <f t="shared" si="14"/>
        <v/>
      </c>
      <c r="L105" s="74" t="str">
        <f t="shared" si="20"/>
        <v/>
      </c>
      <c r="M105" s="75">
        <f>'🏠 INICIO'!C8</f>
        <v>0.1</v>
      </c>
      <c r="N105" s="69" t="str">
        <f t="shared" si="21"/>
        <v/>
      </c>
      <c r="O105" s="74" t="str">
        <f t="shared" si="22"/>
        <v/>
      </c>
    </row>
    <row r="107" spans="2:16" ht="25.5" customHeight="1" x14ac:dyDescent="0.2">
      <c r="B107" s="293" t="s">
        <v>201</v>
      </c>
      <c r="C107" s="293"/>
      <c r="D107" s="293"/>
      <c r="E107" s="293"/>
      <c r="F107" s="101">
        <f>SUM(F6:F105)</f>
        <v>513.5</v>
      </c>
      <c r="G107" s="101">
        <f>SUM(G6:G105)</f>
        <v>45</v>
      </c>
      <c r="H107" s="101">
        <f>SUM(H6:H105)</f>
        <v>558.5</v>
      </c>
      <c r="J107" s="101">
        <f>SUM(J6:J105)</f>
        <v>847.2973901098901</v>
      </c>
      <c r="K107" s="101">
        <f>SUM(K6:K105)</f>
        <v>558.5</v>
      </c>
      <c r="L107" s="102">
        <f>SUM(L6:L105)</f>
        <v>288.7973901098901</v>
      </c>
      <c r="N107" s="101">
        <f>SUM(N6:N105)</f>
        <v>84.729739010989007</v>
      </c>
      <c r="O107" s="102">
        <f>SUM(O6:O105)</f>
        <v>204.06765109890108</v>
      </c>
    </row>
    <row r="109" spans="2:16" ht="25.5" customHeight="1" x14ac:dyDescent="0.2">
      <c r="B109" s="254" t="s">
        <v>202</v>
      </c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</row>
    <row r="110" spans="2:16" ht="30" customHeight="1" x14ac:dyDescent="0.2">
      <c r="B110" s="294" t="s">
        <v>203</v>
      </c>
      <c r="C110" s="294"/>
      <c r="D110" s="294"/>
      <c r="E110" s="295" t="s">
        <v>204</v>
      </c>
      <c r="F110" s="295"/>
      <c r="G110" s="295"/>
      <c r="H110" s="296" t="s">
        <v>205</v>
      </c>
      <c r="I110" s="296"/>
      <c r="J110" s="296"/>
      <c r="K110" s="297" t="s">
        <v>206</v>
      </c>
      <c r="L110" s="297"/>
      <c r="M110" s="297"/>
      <c r="N110" s="298" t="s">
        <v>207</v>
      </c>
      <c r="O110" s="298"/>
      <c r="P110" s="298"/>
    </row>
    <row r="111" spans="2:16" ht="25.5" customHeight="1" x14ac:dyDescent="0.2">
      <c r="B111" s="286">
        <f>J107</f>
        <v>847.2973901098901</v>
      </c>
      <c r="C111" s="286"/>
      <c r="D111" s="286"/>
      <c r="E111" s="287">
        <f>N107</f>
        <v>84.729739010989007</v>
      </c>
      <c r="F111" s="287"/>
      <c r="G111" s="287"/>
      <c r="H111" s="288">
        <f>O107</f>
        <v>204.06765109890108</v>
      </c>
      <c r="I111" s="288"/>
      <c r="J111" s="288"/>
      <c r="K111" s="289">
        <f>H107</f>
        <v>558.5</v>
      </c>
      <c r="L111" s="289"/>
      <c r="M111" s="289"/>
      <c r="N111" s="290">
        <f>COUNTA(E6:E105)</f>
        <v>15</v>
      </c>
      <c r="O111" s="290"/>
      <c r="P111" s="290"/>
    </row>
  </sheetData>
  <autoFilter ref="B5:O105" xr:uid="{00000000-0009-0000-0000-000003000000}"/>
  <mergeCells count="15">
    <mergeCell ref="B1:O1"/>
    <mergeCell ref="B2:O2"/>
    <mergeCell ref="B107:E107"/>
    <mergeCell ref="B109:O109"/>
    <mergeCell ref="B110:D110"/>
    <mergeCell ref="E110:G110"/>
    <mergeCell ref="H110:J110"/>
    <mergeCell ref="K110:M110"/>
    <mergeCell ref="N110:P110"/>
    <mergeCell ref="P1:R5"/>
    <mergeCell ref="B111:D111"/>
    <mergeCell ref="E111:G111"/>
    <mergeCell ref="H111:J111"/>
    <mergeCell ref="K111:M111"/>
    <mergeCell ref="N111:P111"/>
  </mergeCells>
  <dataValidations count="3">
    <dataValidation type="list" allowBlank="1" sqref="C6:C105" xr:uid="{00000000-0002-0000-0300-000000000000}">
      <formula1>"ENERO,FEBRERO,MARZO,ABRIL,MAYO,JUNIO,JULIO,AGOSTO,SEPTIEMBRE,OCTUBRE,NOVIEMBRE,DICIEMBRE"</formula1>
      <formula2>0</formula2>
    </dataValidation>
    <dataValidation type="list" allowBlank="1" sqref="D6:D105" xr:uid="{00000000-0002-0000-0300-000001000000}">
      <formula1>"YANBAL,ESIKA,CYZONE,LBEL,NATURA,AVON,FARMASI,ORIFLAME,OTRO"</formula1>
      <formula2>0</formula2>
    </dataValidation>
    <dataValidation type="list" allowBlank="1" sqref="I6:I105" xr:uid="{00000000-0002-0000-0300-000002000000}">
      <formula1>"0.25,0.30,0.35,0.40,0.45,0.50"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7"/>
  <sheetViews>
    <sheetView showGridLines="0" topLeftCell="A6" zoomScale="151" zoomScaleNormal="151" workbookViewId="0">
      <selection activeCell="F28" sqref="F28"/>
    </sheetView>
  </sheetViews>
  <sheetFormatPr baseColWidth="10" defaultColWidth="8.6640625" defaultRowHeight="15" x14ac:dyDescent="0.2"/>
  <cols>
    <col min="1" max="1" width="3" customWidth="1"/>
    <col min="2" max="2" width="58.33203125" customWidth="1"/>
    <col min="3" max="3" width="18" customWidth="1"/>
    <col min="4" max="4" width="22" customWidth="1"/>
    <col min="5" max="5" width="10.83203125" customWidth="1"/>
    <col min="6" max="6" width="35.83203125" customWidth="1"/>
    <col min="7" max="7" width="18" customWidth="1"/>
    <col min="8" max="8" width="22" customWidth="1"/>
  </cols>
  <sheetData>
    <row r="1" spans="2:8" ht="31.5" customHeight="1" x14ac:dyDescent="0.2">
      <c r="B1" s="306" t="s">
        <v>208</v>
      </c>
      <c r="C1" s="306"/>
      <c r="D1" s="306"/>
      <c r="E1" s="306"/>
      <c r="F1" s="306"/>
      <c r="G1" s="306"/>
      <c r="H1" s="306"/>
    </row>
    <row r="2" spans="2:8" ht="18" customHeight="1" x14ac:dyDescent="0.2">
      <c r="B2" s="307" t="s">
        <v>209</v>
      </c>
      <c r="C2" s="307"/>
      <c r="D2" s="307"/>
      <c r="E2" s="307"/>
      <c r="F2" s="307"/>
      <c r="G2" s="307"/>
      <c r="H2" s="307"/>
    </row>
    <row r="3" spans="2:8" ht="15" customHeight="1" x14ac:dyDescent="0.2">
      <c r="G3" s="103">
        <f>'📊 CALCULADORA CAMPAÑA'!O113</f>
        <v>0</v>
      </c>
    </row>
    <row r="4" spans="2:8" ht="24" customHeight="1" x14ac:dyDescent="0.2">
      <c r="B4" s="308" t="s">
        <v>210</v>
      </c>
      <c r="C4" s="308"/>
      <c r="D4" s="308"/>
      <c r="F4" s="243" t="s">
        <v>211</v>
      </c>
      <c r="G4" s="243"/>
      <c r="H4" s="243"/>
    </row>
    <row r="5" spans="2:8" ht="27.75" customHeight="1" x14ac:dyDescent="0.2">
      <c r="B5" s="104" t="s">
        <v>212</v>
      </c>
      <c r="C5" s="105">
        <v>1500</v>
      </c>
      <c r="D5" s="106" t="s">
        <v>213</v>
      </c>
      <c r="F5" s="107" t="s">
        <v>214</v>
      </c>
      <c r="G5" s="309" t="str">
        <f>IF(C21&gt;=300,"✅ ¡Excelente campaña!","")</f>
        <v>✅ ¡Excelente campaña!</v>
      </c>
      <c r="H5" s="309"/>
    </row>
    <row r="6" spans="2:8" ht="27.75" customHeight="1" x14ac:dyDescent="0.2">
      <c r="B6" s="104" t="s">
        <v>215</v>
      </c>
      <c r="C6" s="108">
        <f>ROUND(C5*0.1,2)</f>
        <v>150</v>
      </c>
      <c r="D6" s="109" t="s">
        <v>216</v>
      </c>
      <c r="F6" s="110" t="s">
        <v>217</v>
      </c>
      <c r="G6" s="302" t="str">
        <f>IF(AND(C21&gt;=100,C21&lt;300),"⚠️ Campaña regular, puedes mejorar","")</f>
        <v/>
      </c>
      <c r="H6" s="302"/>
    </row>
    <row r="7" spans="2:8" ht="27.75" customHeight="1" x14ac:dyDescent="0.2">
      <c r="B7" s="104" t="s">
        <v>218</v>
      </c>
      <c r="C7" s="105">
        <v>0</v>
      </c>
      <c r="D7" s="106" t="s">
        <v>219</v>
      </c>
      <c r="F7" s="111" t="s">
        <v>220</v>
      </c>
      <c r="G7" s="303" t="str">
        <f>IF(C21&lt;100,"🚨 Ojo: casi no ganaste. Revisa tus precios","")</f>
        <v/>
      </c>
      <c r="H7" s="303"/>
    </row>
    <row r="8" spans="2:8" ht="21.75" customHeight="1" x14ac:dyDescent="0.2">
      <c r="B8" s="112" t="s">
        <v>221</v>
      </c>
      <c r="C8" s="113">
        <f>C5+C7</f>
        <v>1500</v>
      </c>
    </row>
    <row r="9" spans="2:8" ht="24" customHeight="1" x14ac:dyDescent="0.2">
      <c r="F9" s="304" t="s">
        <v>222</v>
      </c>
      <c r="G9" s="304"/>
      <c r="H9" s="304"/>
    </row>
    <row r="10" spans="2:8" ht="21.75" customHeight="1" x14ac:dyDescent="0.2">
      <c r="B10" s="305" t="s">
        <v>223</v>
      </c>
      <c r="C10" s="305"/>
      <c r="D10" s="305"/>
      <c r="F10" s="2" t="s">
        <v>224</v>
      </c>
      <c r="G10" s="115">
        <v>750</v>
      </c>
      <c r="H10" s="116" t="s">
        <v>225</v>
      </c>
    </row>
    <row r="11" spans="2:8" ht="21.75" customHeight="1" x14ac:dyDescent="0.2">
      <c r="B11" s="117" t="s">
        <v>226</v>
      </c>
      <c r="C11" s="118">
        <v>600</v>
      </c>
      <c r="F11" s="2" t="s">
        <v>227</v>
      </c>
      <c r="G11" s="119">
        <f>IF(AND(C5&gt;0,C18&gt;0),(G10/(C5-C18))*C5,"Llena los datos")</f>
        <v>1500</v>
      </c>
    </row>
    <row r="12" spans="2:8" ht="21.75" customHeight="1" x14ac:dyDescent="0.2">
      <c r="B12" s="120" t="s">
        <v>228</v>
      </c>
      <c r="C12" s="121">
        <f>C6</f>
        <v>150</v>
      </c>
      <c r="D12" s="122" t="s">
        <v>229</v>
      </c>
    </row>
    <row r="13" spans="2:8" ht="21.75" customHeight="1" x14ac:dyDescent="0.2">
      <c r="B13" s="117" t="s">
        <v>230</v>
      </c>
      <c r="C13" s="118">
        <v>0</v>
      </c>
      <c r="F13" s="2" t="s">
        <v>231</v>
      </c>
      <c r="G13" s="123" t="str">
        <f>IF(C25&gt;=G10,"✅ ¡Sí! Meta cumplida 🎉","❌ Aún no. Faltan S/ "&amp;TEXT(G10-C25,"#,##0.00"))</f>
        <v>❌ Aún no. Faltan S/ 375,000</v>
      </c>
    </row>
    <row r="14" spans="2:8" ht="24" customHeight="1" x14ac:dyDescent="0.2">
      <c r="B14" s="117" t="s">
        <v>232</v>
      </c>
      <c r="C14" s="118">
        <v>0</v>
      </c>
      <c r="F14" s="300"/>
      <c r="G14" s="300"/>
      <c r="H14" s="300"/>
    </row>
    <row r="15" spans="2:8" ht="19.5" customHeight="1" x14ac:dyDescent="0.2">
      <c r="B15" s="117" t="s">
        <v>233</v>
      </c>
      <c r="C15" s="118">
        <v>0</v>
      </c>
      <c r="F15" s="12" t="s">
        <v>234</v>
      </c>
    </row>
    <row r="16" spans="2:8" ht="19.5" customHeight="1" x14ac:dyDescent="0.2">
      <c r="B16" s="117" t="s">
        <v>235</v>
      </c>
      <c r="C16" s="118">
        <v>0</v>
      </c>
      <c r="F16" s="117" t="s">
        <v>236</v>
      </c>
      <c r="G16" s="118">
        <v>50</v>
      </c>
    </row>
    <row r="17" spans="2:7" ht="19.5" customHeight="1" x14ac:dyDescent="0.2">
      <c r="B17" s="117" t="s">
        <v>237</v>
      </c>
      <c r="C17" s="118">
        <v>0</v>
      </c>
      <c r="F17" s="117" t="s">
        <v>238</v>
      </c>
      <c r="G17" s="118">
        <v>100</v>
      </c>
    </row>
    <row r="18" spans="2:7" ht="19.5" customHeight="1" x14ac:dyDescent="0.2">
      <c r="B18" s="124" t="s">
        <v>239</v>
      </c>
      <c r="C18" s="125">
        <f>SUM(C11:C17)</f>
        <v>750</v>
      </c>
      <c r="F18" s="117" t="s">
        <v>240</v>
      </c>
      <c r="G18" s="118">
        <v>30</v>
      </c>
    </row>
    <row r="19" spans="2:7" ht="21.75" customHeight="1" x14ac:dyDescent="0.2">
      <c r="B19" s="300"/>
      <c r="C19" s="300"/>
      <c r="D19" s="300"/>
      <c r="F19" s="117" t="s">
        <v>241</v>
      </c>
      <c r="G19" s="118">
        <v>0</v>
      </c>
    </row>
    <row r="20" spans="2:7" ht="21.75" customHeight="1" x14ac:dyDescent="0.2">
      <c r="B20" s="114" t="s">
        <v>242</v>
      </c>
      <c r="F20" s="124" t="s">
        <v>243</v>
      </c>
      <c r="G20" s="125">
        <f>SUM(G15:G18)</f>
        <v>180</v>
      </c>
    </row>
    <row r="21" spans="2:7" ht="24" customHeight="1" x14ac:dyDescent="0.2">
      <c r="B21" s="2" t="s">
        <v>244</v>
      </c>
      <c r="C21" s="126">
        <f>C8-C18</f>
        <v>750</v>
      </c>
      <c r="D21" s="301" t="s">
        <v>344</v>
      </c>
      <c r="F21" s="127" t="s">
        <v>245</v>
      </c>
      <c r="G21" s="128" t="str">
        <f>IF(C3&lt;&gt;0,G19/C3,"Llena productos")</f>
        <v>Llena productos</v>
      </c>
    </row>
    <row r="22" spans="2:7" ht="24" customHeight="1" x14ac:dyDescent="0.2">
      <c r="B22" s="129" t="s">
        <v>246</v>
      </c>
      <c r="C22" s="130"/>
      <c r="D22" s="301"/>
      <c r="F22" s="231" t="e" vm="1">
        <v>#VALUE!</v>
      </c>
      <c r="G22" s="231"/>
    </row>
    <row r="23" spans="2:7" ht="24" customHeight="1" x14ac:dyDescent="0.2">
      <c r="B23" t="s">
        <v>247</v>
      </c>
      <c r="C23" s="121">
        <f>IF(C21&gt;0,C21*0.3,0)</f>
        <v>225</v>
      </c>
      <c r="F23" s="231"/>
      <c r="G23" s="231"/>
    </row>
    <row r="24" spans="2:7" ht="19.5" customHeight="1" x14ac:dyDescent="0.2">
      <c r="B24" s="131" t="s">
        <v>248</v>
      </c>
      <c r="C24" s="132">
        <f>IF(C21&gt;0,C21*0.2,0)</f>
        <v>150</v>
      </c>
      <c r="F24" s="231"/>
      <c r="G24" s="231"/>
    </row>
    <row r="25" spans="2:7" ht="19.5" customHeight="1" x14ac:dyDescent="0.2">
      <c r="B25" s="9" t="s">
        <v>249</v>
      </c>
      <c r="C25" s="133">
        <f>IF(C21&gt;0,C21*0.5,0)</f>
        <v>375</v>
      </c>
      <c r="F25" s="231"/>
      <c r="G25" s="231"/>
    </row>
    <row r="26" spans="2:7" ht="15" customHeight="1" x14ac:dyDescent="0.2"/>
    <row r="27" spans="2:7" ht="15" customHeight="1" x14ac:dyDescent="0.2">
      <c r="B27" s="134" t="s">
        <v>250</v>
      </c>
    </row>
  </sheetData>
  <mergeCells count="13">
    <mergeCell ref="B1:H1"/>
    <mergeCell ref="B2:H2"/>
    <mergeCell ref="B4:D4"/>
    <mergeCell ref="F4:H4"/>
    <mergeCell ref="G5:H5"/>
    <mergeCell ref="B19:D19"/>
    <mergeCell ref="D21:D22"/>
    <mergeCell ref="F22:G25"/>
    <mergeCell ref="G6:H6"/>
    <mergeCell ref="G7:H7"/>
    <mergeCell ref="F9:H9"/>
    <mergeCell ref="B10:D10"/>
    <mergeCell ref="F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0"/>
  <sheetViews>
    <sheetView tabSelected="1" zoomScale="143" zoomScaleNormal="143" workbookViewId="0">
      <pane xSplit="1" ySplit="7" topLeftCell="B9" activePane="bottomRight" state="frozen"/>
      <selection pane="topRight" activeCell="B1" sqref="B1"/>
      <selection pane="bottomLeft" activeCell="A17" sqref="A17"/>
      <selection pane="bottomRight" activeCell="B18" sqref="B18"/>
    </sheetView>
  </sheetViews>
  <sheetFormatPr baseColWidth="10" defaultColWidth="8.6640625" defaultRowHeight="15" x14ac:dyDescent="0.2"/>
  <cols>
    <col min="1" max="1" width="3" customWidth="1"/>
    <col min="2" max="2" width="20" customWidth="1"/>
    <col min="3" max="3" width="16" customWidth="1"/>
    <col min="4" max="4" width="13" customWidth="1"/>
    <col min="5" max="5" width="12" customWidth="1"/>
    <col min="6" max="6" width="17.83203125" customWidth="1"/>
    <col min="7" max="7" width="9.6640625" customWidth="1"/>
    <col min="8" max="8" width="9.83203125" customWidth="1"/>
    <col min="9" max="9" width="14" customWidth="1"/>
    <col min="10" max="10" width="3" customWidth="1"/>
    <col min="11" max="11" width="18" customWidth="1"/>
    <col min="12" max="12" width="14" customWidth="1"/>
    <col min="13" max="13" width="13" customWidth="1"/>
    <col min="14" max="14" width="11" customWidth="1"/>
    <col min="15" max="15" width="10" customWidth="1"/>
    <col min="16" max="16" width="9.6640625" customWidth="1"/>
    <col min="17" max="17" width="8.83203125" customWidth="1"/>
    <col min="18" max="18" width="10" customWidth="1"/>
  </cols>
  <sheetData>
    <row r="1" spans="1:18" ht="37.5" customHeight="1" x14ac:dyDescent="0.2">
      <c r="A1" s="233" t="s">
        <v>251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4" t="e" vm="1">
        <v>#VALUE!</v>
      </c>
      <c r="Q1" s="234"/>
      <c r="R1" s="234"/>
    </row>
    <row r="2" spans="1:18" ht="13.5" customHeight="1" x14ac:dyDescent="0.2">
      <c r="B2" s="1" t="s">
        <v>252</v>
      </c>
      <c r="D2" s="231" t="s">
        <v>253</v>
      </c>
      <c r="E2" s="231"/>
      <c r="F2" s="231"/>
      <c r="G2" s="231"/>
      <c r="H2" s="231"/>
      <c r="I2" s="231"/>
      <c r="J2" s="231"/>
      <c r="K2" s="231"/>
      <c r="L2" s="231"/>
      <c r="M2" s="231"/>
      <c r="N2" s="231"/>
      <c r="P2" s="234"/>
      <c r="Q2" s="234"/>
      <c r="R2" s="234"/>
    </row>
    <row r="3" spans="1:18" ht="25.5" customHeight="1" x14ac:dyDescent="0.2">
      <c r="C3" s="135" t="s">
        <v>254</v>
      </c>
      <c r="E3" s="136">
        <f>'🏠 INICIO'!D23</f>
        <v>0</v>
      </c>
      <c r="F3" s="137" t="s">
        <v>106</v>
      </c>
      <c r="P3" s="234"/>
      <c r="Q3" s="234"/>
      <c r="R3" s="234"/>
    </row>
    <row r="4" spans="1:18" ht="15.75" customHeight="1" x14ac:dyDescent="0.2">
      <c r="B4" s="138" t="s">
        <v>255</v>
      </c>
      <c r="E4" s="139" t="s">
        <v>108</v>
      </c>
      <c r="H4" s="140" t="s">
        <v>256</v>
      </c>
      <c r="K4" s="141" t="s">
        <v>257</v>
      </c>
      <c r="P4" s="234"/>
      <c r="Q4" s="234"/>
      <c r="R4" s="234"/>
    </row>
    <row r="5" spans="1:18" x14ac:dyDescent="0.2">
      <c r="P5" s="234"/>
      <c r="Q5" s="234"/>
      <c r="R5" s="234"/>
    </row>
    <row r="6" spans="1:18" ht="21.75" customHeight="1" x14ac:dyDescent="0.2">
      <c r="B6" s="142" t="s">
        <v>258</v>
      </c>
      <c r="C6" s="143"/>
      <c r="D6" s="143"/>
      <c r="E6" s="143"/>
      <c r="F6" s="143"/>
      <c r="G6" s="143"/>
      <c r="H6" s="143"/>
      <c r="I6" s="143"/>
      <c r="K6" s="144" t="s">
        <v>259</v>
      </c>
      <c r="L6" s="143"/>
      <c r="M6" s="143"/>
      <c r="N6" s="143"/>
      <c r="O6" s="143"/>
      <c r="P6" s="234"/>
      <c r="Q6" s="234"/>
      <c r="R6" s="234"/>
    </row>
    <row r="7" spans="1:18" ht="27.75" customHeight="1" x14ac:dyDescent="0.2">
      <c r="B7" s="145" t="s">
        <v>260</v>
      </c>
      <c r="C7" s="145" t="s">
        <v>177</v>
      </c>
      <c r="D7" s="146" t="s">
        <v>261</v>
      </c>
      <c r="E7" s="147" t="s">
        <v>262</v>
      </c>
      <c r="F7" s="147" t="s">
        <v>263</v>
      </c>
      <c r="G7" s="148" t="s">
        <v>264</v>
      </c>
      <c r="H7" s="149" t="s">
        <v>265</v>
      </c>
      <c r="I7" s="150" t="s">
        <v>266</v>
      </c>
      <c r="K7" s="145" t="s">
        <v>260</v>
      </c>
      <c r="L7" s="145" t="s">
        <v>177</v>
      </c>
      <c r="M7" s="146" t="s">
        <v>261</v>
      </c>
      <c r="N7" s="147" t="s">
        <v>262</v>
      </c>
      <c r="O7" s="147" t="s">
        <v>263</v>
      </c>
      <c r="P7" s="148" t="s">
        <v>264</v>
      </c>
      <c r="Q7" s="149" t="s">
        <v>265</v>
      </c>
      <c r="R7" s="150" t="s">
        <v>266</v>
      </c>
    </row>
    <row r="8" spans="1:18" ht="18" customHeight="1" x14ac:dyDescent="0.2">
      <c r="B8" s="151">
        <v>1</v>
      </c>
      <c r="C8" s="152" t="s">
        <v>174</v>
      </c>
      <c r="D8" s="153">
        <v>420</v>
      </c>
      <c r="E8" s="153">
        <v>650</v>
      </c>
      <c r="F8" s="154">
        <f t="shared" ref="F8:F20" si="0">IFERROR(IF(E8="","",E8-D8),"")</f>
        <v>230</v>
      </c>
      <c r="G8" s="155">
        <f t="shared" ref="G8:G20" si="1">IFERROR(IF(E8="","",E8*$E$3),"")</f>
        <v>0</v>
      </c>
      <c r="H8" s="153">
        <f t="shared" ref="H8:H20" si="2">IFERROR(IF(D8="","",D8*0.5),"")</f>
        <v>210</v>
      </c>
      <c r="I8" s="156">
        <f t="shared" ref="I8:I20" si="3">IFERROR(IF(F8="","",F8-G8),"")</f>
        <v>230</v>
      </c>
      <c r="K8" s="157">
        <v>1</v>
      </c>
      <c r="L8" s="152" t="s">
        <v>174</v>
      </c>
      <c r="M8" s="153">
        <v>280</v>
      </c>
      <c r="N8" s="153">
        <v>435</v>
      </c>
      <c r="O8" s="158">
        <f t="shared" ref="O8:O20" si="4">IFERROR(IF(N8="","",N8-M8),"")</f>
        <v>155</v>
      </c>
      <c r="P8" s="155">
        <f t="shared" ref="P8:P20" si="5">IFERROR(IF(N8="","",N8*$E$3),"")</f>
        <v>0</v>
      </c>
      <c r="Q8" s="153">
        <f t="shared" ref="Q8:Q20" si="6">IFERROR(IF(M8="","",M8*0.5),"")</f>
        <v>140</v>
      </c>
      <c r="R8" s="156">
        <f t="shared" ref="R8:R20" si="7">IFERROR(IF(O8="","",O8-P8),"")</f>
        <v>155</v>
      </c>
    </row>
    <row r="9" spans="1:18" ht="18" customHeight="1" x14ac:dyDescent="0.2">
      <c r="B9" s="159">
        <v>2</v>
      </c>
      <c r="C9" s="152" t="s">
        <v>267</v>
      </c>
      <c r="D9" s="153">
        <v>380</v>
      </c>
      <c r="E9" s="153">
        <v>590</v>
      </c>
      <c r="F9" s="160">
        <f t="shared" si="0"/>
        <v>210</v>
      </c>
      <c r="G9" s="155">
        <f t="shared" si="1"/>
        <v>0</v>
      </c>
      <c r="H9" s="153">
        <f t="shared" si="2"/>
        <v>190</v>
      </c>
      <c r="I9" s="156">
        <f t="shared" si="3"/>
        <v>210</v>
      </c>
      <c r="K9" s="159">
        <v>2</v>
      </c>
      <c r="L9" s="152" t="s">
        <v>267</v>
      </c>
      <c r="M9" s="153">
        <v>310</v>
      </c>
      <c r="N9" s="153">
        <v>480</v>
      </c>
      <c r="O9" s="160">
        <f t="shared" si="4"/>
        <v>170</v>
      </c>
      <c r="P9" s="155">
        <f t="shared" si="5"/>
        <v>0</v>
      </c>
      <c r="Q9" s="153">
        <f t="shared" si="6"/>
        <v>155</v>
      </c>
      <c r="R9" s="156">
        <f t="shared" si="7"/>
        <v>170</v>
      </c>
    </row>
    <row r="10" spans="1:18" ht="18" customHeight="1" x14ac:dyDescent="0.2">
      <c r="B10" s="151">
        <v>3</v>
      </c>
      <c r="C10" s="152" t="s">
        <v>268</v>
      </c>
      <c r="D10" s="153">
        <v>510</v>
      </c>
      <c r="E10" s="153">
        <v>790</v>
      </c>
      <c r="F10" s="154">
        <f t="shared" si="0"/>
        <v>280</v>
      </c>
      <c r="G10" s="155">
        <f t="shared" si="1"/>
        <v>0</v>
      </c>
      <c r="H10" s="153">
        <f t="shared" si="2"/>
        <v>255</v>
      </c>
      <c r="I10" s="156">
        <f t="shared" si="3"/>
        <v>280</v>
      </c>
      <c r="K10" s="157">
        <v>3</v>
      </c>
      <c r="L10" s="152" t="s">
        <v>268</v>
      </c>
      <c r="M10" s="153">
        <v>265</v>
      </c>
      <c r="N10" s="153">
        <v>410</v>
      </c>
      <c r="O10" s="158">
        <f t="shared" si="4"/>
        <v>145</v>
      </c>
      <c r="P10" s="155">
        <f t="shared" si="5"/>
        <v>0</v>
      </c>
      <c r="Q10" s="153">
        <f t="shared" si="6"/>
        <v>132.5</v>
      </c>
      <c r="R10" s="156">
        <f t="shared" si="7"/>
        <v>145</v>
      </c>
    </row>
    <row r="11" spans="1:18" ht="18" customHeight="1" x14ac:dyDescent="0.2">
      <c r="B11" s="159">
        <v>4</v>
      </c>
      <c r="C11" s="152" t="s">
        <v>269</v>
      </c>
      <c r="D11" s="153">
        <v>460</v>
      </c>
      <c r="E11" s="153">
        <v>720</v>
      </c>
      <c r="F11" s="160">
        <f t="shared" si="0"/>
        <v>260</v>
      </c>
      <c r="G11" s="155">
        <f t="shared" si="1"/>
        <v>0</v>
      </c>
      <c r="H11" s="153">
        <f t="shared" si="2"/>
        <v>230</v>
      </c>
      <c r="I11" s="156">
        <f t="shared" si="3"/>
        <v>260</v>
      </c>
      <c r="K11" s="159">
        <v>4</v>
      </c>
      <c r="L11" s="152" t="s">
        <v>269</v>
      </c>
      <c r="M11" s="153">
        <v>330</v>
      </c>
      <c r="N11" s="153">
        <v>510</v>
      </c>
      <c r="O11" s="160">
        <f t="shared" si="4"/>
        <v>180</v>
      </c>
      <c r="P11" s="155">
        <f t="shared" si="5"/>
        <v>0</v>
      </c>
      <c r="Q11" s="153">
        <f t="shared" si="6"/>
        <v>165</v>
      </c>
      <c r="R11" s="156">
        <f t="shared" si="7"/>
        <v>180</v>
      </c>
    </row>
    <row r="12" spans="1:18" ht="18" customHeight="1" x14ac:dyDescent="0.2">
      <c r="B12" s="151">
        <v>5</v>
      </c>
      <c r="C12" s="152" t="s">
        <v>270</v>
      </c>
      <c r="D12" s="153">
        <v>395</v>
      </c>
      <c r="E12" s="153">
        <v>615</v>
      </c>
      <c r="F12" s="154">
        <f t="shared" si="0"/>
        <v>220</v>
      </c>
      <c r="G12" s="155">
        <f t="shared" si="1"/>
        <v>0</v>
      </c>
      <c r="H12" s="153">
        <f t="shared" si="2"/>
        <v>197.5</v>
      </c>
      <c r="I12" s="156">
        <f t="shared" si="3"/>
        <v>220</v>
      </c>
      <c r="K12" s="157">
        <v>5</v>
      </c>
      <c r="L12" s="152" t="s">
        <v>270</v>
      </c>
      <c r="M12" s="153">
        <v>295</v>
      </c>
      <c r="N12" s="153">
        <v>460</v>
      </c>
      <c r="O12" s="158">
        <f t="shared" si="4"/>
        <v>165</v>
      </c>
      <c r="P12" s="155">
        <f t="shared" si="5"/>
        <v>0</v>
      </c>
      <c r="Q12" s="153">
        <f t="shared" si="6"/>
        <v>147.5</v>
      </c>
      <c r="R12" s="156">
        <f t="shared" si="7"/>
        <v>165</v>
      </c>
    </row>
    <row r="13" spans="1:18" ht="18" customHeight="1" x14ac:dyDescent="0.2">
      <c r="B13" s="159">
        <v>6</v>
      </c>
      <c r="C13" s="152" t="s">
        <v>188</v>
      </c>
      <c r="D13" s="153">
        <v>480</v>
      </c>
      <c r="E13" s="153">
        <v>745</v>
      </c>
      <c r="F13" s="160">
        <f t="shared" si="0"/>
        <v>265</v>
      </c>
      <c r="G13" s="155">
        <f t="shared" si="1"/>
        <v>0</v>
      </c>
      <c r="H13" s="153">
        <f t="shared" si="2"/>
        <v>240</v>
      </c>
      <c r="I13" s="156">
        <f t="shared" si="3"/>
        <v>265</v>
      </c>
      <c r="K13" s="159">
        <v>6</v>
      </c>
      <c r="L13" s="152" t="s">
        <v>188</v>
      </c>
      <c r="M13" s="153">
        <v>350</v>
      </c>
      <c r="N13" s="153">
        <v>540</v>
      </c>
      <c r="O13" s="160">
        <f t="shared" si="4"/>
        <v>190</v>
      </c>
      <c r="P13" s="155">
        <f t="shared" si="5"/>
        <v>0</v>
      </c>
      <c r="Q13" s="153">
        <f t="shared" si="6"/>
        <v>175</v>
      </c>
      <c r="R13" s="156">
        <f t="shared" si="7"/>
        <v>190</v>
      </c>
    </row>
    <row r="14" spans="1:18" ht="18" customHeight="1" x14ac:dyDescent="0.2">
      <c r="B14" s="151">
        <v>7</v>
      </c>
      <c r="C14" s="152"/>
      <c r="D14" s="153"/>
      <c r="E14" s="153"/>
      <c r="F14" s="154" t="str">
        <f t="shared" si="0"/>
        <v/>
      </c>
      <c r="G14" s="155" t="str">
        <f t="shared" si="1"/>
        <v/>
      </c>
      <c r="H14" s="153" t="str">
        <f t="shared" si="2"/>
        <v/>
      </c>
      <c r="I14" s="156" t="str">
        <f t="shared" si="3"/>
        <v/>
      </c>
      <c r="K14" s="157">
        <v>7</v>
      </c>
      <c r="L14" s="152"/>
      <c r="M14" s="153"/>
      <c r="N14" s="153"/>
      <c r="O14" s="158" t="str">
        <f t="shared" si="4"/>
        <v/>
      </c>
      <c r="P14" s="155" t="str">
        <f t="shared" si="5"/>
        <v/>
      </c>
      <c r="Q14" s="153" t="str">
        <f t="shared" si="6"/>
        <v/>
      </c>
      <c r="R14" s="156" t="str">
        <f t="shared" si="7"/>
        <v/>
      </c>
    </row>
    <row r="15" spans="1:18" ht="18" customHeight="1" x14ac:dyDescent="0.2">
      <c r="B15" s="159">
        <v>1</v>
      </c>
      <c r="C15" s="152"/>
      <c r="D15" s="153"/>
      <c r="E15" s="153"/>
      <c r="F15" s="160" t="str">
        <f t="shared" si="0"/>
        <v/>
      </c>
      <c r="G15" s="155" t="str">
        <f t="shared" si="1"/>
        <v/>
      </c>
      <c r="H15" s="153" t="str">
        <f t="shared" si="2"/>
        <v/>
      </c>
      <c r="I15" s="156" t="str">
        <f t="shared" si="3"/>
        <v/>
      </c>
      <c r="K15" s="159">
        <v>8</v>
      </c>
      <c r="L15" s="152"/>
      <c r="M15" s="153"/>
      <c r="N15" s="153"/>
      <c r="O15" s="160" t="str">
        <f t="shared" si="4"/>
        <v/>
      </c>
      <c r="P15" s="155" t="str">
        <f t="shared" si="5"/>
        <v/>
      </c>
      <c r="Q15" s="153" t="str">
        <f t="shared" si="6"/>
        <v/>
      </c>
      <c r="R15" s="156" t="str">
        <f t="shared" si="7"/>
        <v/>
      </c>
    </row>
    <row r="16" spans="1:18" ht="18" customHeight="1" x14ac:dyDescent="0.2">
      <c r="B16" s="151">
        <v>2</v>
      </c>
      <c r="C16" s="152"/>
      <c r="D16" s="153"/>
      <c r="E16" s="153"/>
      <c r="F16" s="154" t="str">
        <f t="shared" si="0"/>
        <v/>
      </c>
      <c r="G16" s="155" t="str">
        <f t="shared" si="1"/>
        <v/>
      </c>
      <c r="H16" s="153" t="str">
        <f t="shared" si="2"/>
        <v/>
      </c>
      <c r="I16" s="156" t="str">
        <f t="shared" si="3"/>
        <v/>
      </c>
      <c r="K16" s="157">
        <v>9</v>
      </c>
      <c r="L16" s="152"/>
      <c r="M16" s="153"/>
      <c r="N16" s="153"/>
      <c r="O16" s="158" t="str">
        <f t="shared" si="4"/>
        <v/>
      </c>
      <c r="P16" s="155" t="str">
        <f t="shared" si="5"/>
        <v/>
      </c>
      <c r="Q16" s="153" t="str">
        <f t="shared" si="6"/>
        <v/>
      </c>
      <c r="R16" s="156" t="str">
        <f t="shared" si="7"/>
        <v/>
      </c>
    </row>
    <row r="17" spans="2:18" ht="18" customHeight="1" x14ac:dyDescent="0.2">
      <c r="B17" s="159">
        <v>10</v>
      </c>
      <c r="C17" s="152"/>
      <c r="D17" s="153"/>
      <c r="E17" s="153"/>
      <c r="F17" s="160" t="str">
        <f t="shared" si="0"/>
        <v/>
      </c>
      <c r="G17" s="155" t="str">
        <f t="shared" si="1"/>
        <v/>
      </c>
      <c r="H17" s="153" t="str">
        <f t="shared" si="2"/>
        <v/>
      </c>
      <c r="I17" s="156" t="str">
        <f t="shared" si="3"/>
        <v/>
      </c>
      <c r="K17" s="159">
        <v>10</v>
      </c>
      <c r="L17" s="152"/>
      <c r="M17" s="153"/>
      <c r="N17" s="153"/>
      <c r="O17" s="160" t="str">
        <f t="shared" si="4"/>
        <v/>
      </c>
      <c r="P17" s="155" t="str">
        <f t="shared" si="5"/>
        <v/>
      </c>
      <c r="Q17" s="153" t="str">
        <f t="shared" si="6"/>
        <v/>
      </c>
      <c r="R17" s="156" t="str">
        <f t="shared" si="7"/>
        <v/>
      </c>
    </row>
    <row r="18" spans="2:18" ht="18" customHeight="1" x14ac:dyDescent="0.2">
      <c r="B18" s="151">
        <v>11</v>
      </c>
      <c r="C18" s="152"/>
      <c r="D18" s="153"/>
      <c r="E18" s="153"/>
      <c r="F18" s="154" t="str">
        <f t="shared" si="0"/>
        <v/>
      </c>
      <c r="G18" s="155" t="str">
        <f t="shared" si="1"/>
        <v/>
      </c>
      <c r="H18" s="153" t="str">
        <f t="shared" si="2"/>
        <v/>
      </c>
      <c r="I18" s="156" t="str">
        <f t="shared" si="3"/>
        <v/>
      </c>
      <c r="K18" s="157">
        <v>11</v>
      </c>
      <c r="L18" s="152"/>
      <c r="M18" s="153"/>
      <c r="N18" s="153"/>
      <c r="O18" s="158" t="str">
        <f t="shared" si="4"/>
        <v/>
      </c>
      <c r="P18" s="155" t="str">
        <f t="shared" si="5"/>
        <v/>
      </c>
      <c r="Q18" s="153" t="str">
        <f t="shared" si="6"/>
        <v/>
      </c>
      <c r="R18" s="156" t="str">
        <f t="shared" si="7"/>
        <v/>
      </c>
    </row>
    <row r="19" spans="2:18" ht="18" customHeight="1" x14ac:dyDescent="0.2">
      <c r="B19" s="159">
        <v>12</v>
      </c>
      <c r="C19" s="152"/>
      <c r="D19" s="153"/>
      <c r="E19" s="153"/>
      <c r="F19" s="160" t="str">
        <f t="shared" si="0"/>
        <v/>
      </c>
      <c r="G19" s="155" t="str">
        <f t="shared" si="1"/>
        <v/>
      </c>
      <c r="H19" s="153" t="str">
        <f t="shared" si="2"/>
        <v/>
      </c>
      <c r="I19" s="156" t="str">
        <f t="shared" si="3"/>
        <v/>
      </c>
      <c r="K19" s="159">
        <v>12</v>
      </c>
      <c r="L19" s="152"/>
      <c r="M19" s="153"/>
      <c r="N19" s="153"/>
      <c r="O19" s="160" t="str">
        <f t="shared" si="4"/>
        <v/>
      </c>
      <c r="P19" s="155" t="str">
        <f t="shared" si="5"/>
        <v/>
      </c>
      <c r="Q19" s="153" t="str">
        <f t="shared" si="6"/>
        <v/>
      </c>
      <c r="R19" s="156" t="str">
        <f t="shared" si="7"/>
        <v/>
      </c>
    </row>
    <row r="20" spans="2:18" ht="18" customHeight="1" x14ac:dyDescent="0.2">
      <c r="B20" s="151">
        <v>13</v>
      </c>
      <c r="C20" s="152"/>
      <c r="D20" s="153"/>
      <c r="E20" s="153"/>
      <c r="F20" s="154" t="str">
        <f t="shared" si="0"/>
        <v/>
      </c>
      <c r="G20" s="155" t="str">
        <f t="shared" si="1"/>
        <v/>
      </c>
      <c r="H20" s="153" t="str">
        <f t="shared" si="2"/>
        <v/>
      </c>
      <c r="I20" s="156" t="str">
        <f t="shared" si="3"/>
        <v/>
      </c>
      <c r="K20" s="157">
        <v>13</v>
      </c>
      <c r="L20" s="152"/>
      <c r="M20" s="153"/>
      <c r="N20" s="153"/>
      <c r="O20" s="158" t="str">
        <f t="shared" si="4"/>
        <v/>
      </c>
      <c r="P20" s="155" t="str">
        <f t="shared" si="5"/>
        <v/>
      </c>
      <c r="Q20" s="153" t="str">
        <f t="shared" si="6"/>
        <v/>
      </c>
      <c r="R20" s="156" t="str">
        <f t="shared" si="7"/>
        <v/>
      </c>
    </row>
    <row r="21" spans="2:18" ht="21.75" customHeight="1" x14ac:dyDescent="0.2">
      <c r="B21" s="161" t="s">
        <v>271</v>
      </c>
      <c r="D21" s="162">
        <f t="shared" ref="D21:I21" si="8">IFERROR(SUM(D8:D20),0)</f>
        <v>2645</v>
      </c>
      <c r="E21" s="162">
        <f t="shared" si="8"/>
        <v>4110</v>
      </c>
      <c r="F21" s="162">
        <f t="shared" si="8"/>
        <v>1465</v>
      </c>
      <c r="G21" s="162">
        <f t="shared" si="8"/>
        <v>0</v>
      </c>
      <c r="H21" s="162">
        <f t="shared" si="8"/>
        <v>1322.5</v>
      </c>
      <c r="I21" s="162">
        <f t="shared" si="8"/>
        <v>1465</v>
      </c>
      <c r="K21" s="163" t="s">
        <v>271</v>
      </c>
      <c r="M21" s="164">
        <f t="shared" ref="M21:R21" si="9">IFERROR(SUM(M8:M20),0)</f>
        <v>1830</v>
      </c>
      <c r="N21" s="164">
        <f t="shared" si="9"/>
        <v>2835</v>
      </c>
      <c r="O21" s="164">
        <f t="shared" si="9"/>
        <v>1005</v>
      </c>
      <c r="P21" s="164">
        <f t="shared" si="9"/>
        <v>0</v>
      </c>
      <c r="Q21" s="164">
        <f t="shared" si="9"/>
        <v>915</v>
      </c>
      <c r="R21" s="164">
        <f t="shared" si="9"/>
        <v>1005</v>
      </c>
    </row>
    <row r="22" spans="2:18" ht="13.5" customHeight="1" x14ac:dyDescent="0.2">
      <c r="B22" s="165" t="s">
        <v>272</v>
      </c>
      <c r="C22" s="143"/>
      <c r="D22" s="143"/>
      <c r="E22" s="143"/>
      <c r="F22" s="143"/>
      <c r="G22" s="143"/>
      <c r="H22" s="143"/>
      <c r="I22" s="143"/>
      <c r="K22" s="165" t="s">
        <v>272</v>
      </c>
      <c r="L22" s="143"/>
      <c r="M22" s="143"/>
      <c r="N22" s="143"/>
      <c r="O22" s="143"/>
      <c r="P22" s="143"/>
      <c r="Q22" s="143"/>
      <c r="R22" s="143"/>
    </row>
    <row r="24" spans="2:18" ht="21.75" customHeight="1" x14ac:dyDescent="0.2">
      <c r="B24" s="166" t="s">
        <v>273</v>
      </c>
      <c r="C24" s="143"/>
      <c r="D24" s="143"/>
      <c r="E24" s="143"/>
      <c r="F24" s="143"/>
      <c r="G24" s="143"/>
      <c r="H24" s="143"/>
      <c r="I24" s="143"/>
      <c r="K24" s="167" t="s">
        <v>274</v>
      </c>
      <c r="L24" s="143"/>
      <c r="M24" s="143"/>
      <c r="N24" s="143"/>
      <c r="O24" s="143"/>
      <c r="P24" s="143"/>
      <c r="Q24" s="143"/>
      <c r="R24" s="143"/>
    </row>
    <row r="25" spans="2:18" ht="27.75" customHeight="1" x14ac:dyDescent="0.2">
      <c r="B25" s="145" t="s">
        <v>260</v>
      </c>
      <c r="C25" s="145" t="s">
        <v>177</v>
      </c>
      <c r="D25" s="146" t="s">
        <v>261</v>
      </c>
      <c r="E25" s="147" t="s">
        <v>262</v>
      </c>
      <c r="F25" s="147" t="s">
        <v>263</v>
      </c>
      <c r="G25" s="148" t="s">
        <v>264</v>
      </c>
      <c r="H25" s="149" t="s">
        <v>265</v>
      </c>
      <c r="I25" s="150" t="s">
        <v>266</v>
      </c>
      <c r="K25" s="145" t="s">
        <v>260</v>
      </c>
      <c r="L25" s="145" t="s">
        <v>177</v>
      </c>
      <c r="M25" s="146" t="s">
        <v>261</v>
      </c>
      <c r="N25" s="147" t="s">
        <v>262</v>
      </c>
      <c r="O25" s="147" t="s">
        <v>263</v>
      </c>
      <c r="P25" s="148" t="s">
        <v>264</v>
      </c>
      <c r="Q25" s="149" t="s">
        <v>265</v>
      </c>
      <c r="R25" s="150" t="s">
        <v>266</v>
      </c>
    </row>
    <row r="26" spans="2:18" ht="18" customHeight="1" x14ac:dyDescent="0.2">
      <c r="B26" s="168">
        <v>1</v>
      </c>
      <c r="C26" s="152" t="s">
        <v>174</v>
      </c>
      <c r="D26" s="153">
        <v>150</v>
      </c>
      <c r="E26" s="153">
        <v>235</v>
      </c>
      <c r="F26" s="169">
        <f t="shared" ref="F26:F38" si="10">IFERROR(IF(E26="","",E26-D26),"")</f>
        <v>85</v>
      </c>
      <c r="G26" s="155">
        <f t="shared" ref="G26:G38" si="11">IFERROR(IF(E26="","",E26*$E$3),"")</f>
        <v>0</v>
      </c>
      <c r="H26" s="153">
        <f t="shared" ref="H26:H38" si="12">IFERROR(IF(D26="","",D26*0.5),"")</f>
        <v>75</v>
      </c>
      <c r="I26" s="156">
        <f t="shared" ref="I26:I38" si="13">IFERROR(IF(F26="","",F26-G26),"")</f>
        <v>85</v>
      </c>
      <c r="K26" s="170">
        <v>1</v>
      </c>
      <c r="L26" s="152" t="s">
        <v>174</v>
      </c>
      <c r="M26" s="153">
        <v>120</v>
      </c>
      <c r="N26" s="153">
        <v>188</v>
      </c>
      <c r="O26" s="171">
        <f t="shared" ref="O26:O38" si="14">IFERROR(IF(N26="","",N26-M26),"")</f>
        <v>68</v>
      </c>
      <c r="P26" s="155">
        <f t="shared" ref="P26:P38" si="15">IFERROR(IF(N26="","",N26*$E$3),"")</f>
        <v>0</v>
      </c>
      <c r="Q26" s="153">
        <f t="shared" ref="Q26:Q38" si="16">IFERROR(IF(M26="","",M26*0.5),"")</f>
        <v>60</v>
      </c>
      <c r="R26" s="156">
        <f t="shared" ref="R26:R38" si="17">IFERROR(IF(O26="","",O26-P26),"")</f>
        <v>68</v>
      </c>
    </row>
    <row r="27" spans="2:18" ht="18" customHeight="1" x14ac:dyDescent="0.2">
      <c r="B27" s="159">
        <v>2</v>
      </c>
      <c r="C27" s="152" t="s">
        <v>267</v>
      </c>
      <c r="D27" s="153">
        <v>180</v>
      </c>
      <c r="E27" s="153">
        <v>280</v>
      </c>
      <c r="F27" s="160">
        <f t="shared" si="10"/>
        <v>100</v>
      </c>
      <c r="G27" s="155">
        <f t="shared" si="11"/>
        <v>0</v>
      </c>
      <c r="H27" s="153">
        <f t="shared" si="12"/>
        <v>90</v>
      </c>
      <c r="I27" s="156">
        <f t="shared" si="13"/>
        <v>100</v>
      </c>
      <c r="K27" s="159">
        <v>2</v>
      </c>
      <c r="L27" s="152" t="s">
        <v>267</v>
      </c>
      <c r="M27" s="153">
        <v>145</v>
      </c>
      <c r="N27" s="153">
        <v>227</v>
      </c>
      <c r="O27" s="160">
        <f t="shared" si="14"/>
        <v>82</v>
      </c>
      <c r="P27" s="155">
        <f t="shared" si="15"/>
        <v>0</v>
      </c>
      <c r="Q27" s="153">
        <f t="shared" si="16"/>
        <v>72.5</v>
      </c>
      <c r="R27" s="156">
        <f t="shared" si="17"/>
        <v>82</v>
      </c>
    </row>
    <row r="28" spans="2:18" ht="18" customHeight="1" x14ac:dyDescent="0.2">
      <c r="B28" s="168">
        <v>3</v>
      </c>
      <c r="C28" s="152" t="s">
        <v>268</v>
      </c>
      <c r="D28" s="153">
        <v>165</v>
      </c>
      <c r="E28" s="153">
        <v>258</v>
      </c>
      <c r="F28" s="169">
        <f t="shared" si="10"/>
        <v>93</v>
      </c>
      <c r="G28" s="155">
        <f t="shared" si="11"/>
        <v>0</v>
      </c>
      <c r="H28" s="153">
        <f t="shared" si="12"/>
        <v>82.5</v>
      </c>
      <c r="I28" s="156">
        <f t="shared" si="13"/>
        <v>93</v>
      </c>
      <c r="K28" s="170">
        <v>3</v>
      </c>
      <c r="L28" s="152" t="s">
        <v>268</v>
      </c>
      <c r="M28" s="153">
        <v>130</v>
      </c>
      <c r="N28" s="153">
        <v>204</v>
      </c>
      <c r="O28" s="171">
        <f t="shared" si="14"/>
        <v>74</v>
      </c>
      <c r="P28" s="155">
        <f t="shared" si="15"/>
        <v>0</v>
      </c>
      <c r="Q28" s="153">
        <f t="shared" si="16"/>
        <v>65</v>
      </c>
      <c r="R28" s="156">
        <f t="shared" si="17"/>
        <v>74</v>
      </c>
    </row>
    <row r="29" spans="2:18" ht="18" customHeight="1" x14ac:dyDescent="0.2">
      <c r="B29" s="159">
        <v>4</v>
      </c>
      <c r="C29" s="152" t="s">
        <v>269</v>
      </c>
      <c r="D29" s="153">
        <v>200</v>
      </c>
      <c r="E29" s="153">
        <v>312</v>
      </c>
      <c r="F29" s="160">
        <f t="shared" si="10"/>
        <v>112</v>
      </c>
      <c r="G29" s="155">
        <f t="shared" si="11"/>
        <v>0</v>
      </c>
      <c r="H29" s="153">
        <f t="shared" si="12"/>
        <v>100</v>
      </c>
      <c r="I29" s="156">
        <f t="shared" si="13"/>
        <v>112</v>
      </c>
      <c r="K29" s="159">
        <v>4</v>
      </c>
      <c r="L29" s="152" t="s">
        <v>269</v>
      </c>
      <c r="M29" s="153">
        <v>160</v>
      </c>
      <c r="N29" s="153">
        <v>251</v>
      </c>
      <c r="O29" s="160">
        <f t="shared" si="14"/>
        <v>91</v>
      </c>
      <c r="P29" s="155">
        <f t="shared" si="15"/>
        <v>0</v>
      </c>
      <c r="Q29" s="153">
        <f t="shared" si="16"/>
        <v>80</v>
      </c>
      <c r="R29" s="156">
        <f t="shared" si="17"/>
        <v>91</v>
      </c>
    </row>
    <row r="30" spans="2:18" ht="18" customHeight="1" x14ac:dyDescent="0.2">
      <c r="B30" s="168">
        <v>1</v>
      </c>
      <c r="C30" s="152" t="s">
        <v>270</v>
      </c>
      <c r="D30" s="153">
        <v>175</v>
      </c>
      <c r="E30" s="153">
        <v>274</v>
      </c>
      <c r="F30" s="169">
        <f t="shared" si="10"/>
        <v>99</v>
      </c>
      <c r="G30" s="155">
        <f t="shared" si="11"/>
        <v>0</v>
      </c>
      <c r="H30" s="153">
        <f t="shared" si="12"/>
        <v>87.5</v>
      </c>
      <c r="I30" s="156">
        <f t="shared" si="13"/>
        <v>99</v>
      </c>
      <c r="K30" s="170">
        <v>5</v>
      </c>
      <c r="L30" s="152" t="s">
        <v>270</v>
      </c>
      <c r="M30" s="153">
        <v>135</v>
      </c>
      <c r="N30" s="153">
        <v>212</v>
      </c>
      <c r="O30" s="171">
        <f t="shared" si="14"/>
        <v>77</v>
      </c>
      <c r="P30" s="155">
        <f t="shared" si="15"/>
        <v>0</v>
      </c>
      <c r="Q30" s="153">
        <f t="shared" si="16"/>
        <v>67.5</v>
      </c>
      <c r="R30" s="156">
        <f t="shared" si="17"/>
        <v>77</v>
      </c>
    </row>
    <row r="31" spans="2:18" ht="18" customHeight="1" x14ac:dyDescent="0.2">
      <c r="B31" s="159">
        <v>6</v>
      </c>
      <c r="C31" s="152" t="s">
        <v>188</v>
      </c>
      <c r="D31" s="153">
        <v>210</v>
      </c>
      <c r="E31" s="153">
        <v>328</v>
      </c>
      <c r="F31" s="160">
        <f t="shared" si="10"/>
        <v>118</v>
      </c>
      <c r="G31" s="155">
        <f t="shared" si="11"/>
        <v>0</v>
      </c>
      <c r="H31" s="153">
        <f t="shared" si="12"/>
        <v>105</v>
      </c>
      <c r="I31" s="156">
        <f t="shared" si="13"/>
        <v>118</v>
      </c>
      <c r="K31" s="159">
        <v>6</v>
      </c>
      <c r="L31" s="152" t="s">
        <v>188</v>
      </c>
      <c r="M31" s="153">
        <v>155</v>
      </c>
      <c r="N31" s="153">
        <v>243</v>
      </c>
      <c r="O31" s="160">
        <f t="shared" si="14"/>
        <v>88</v>
      </c>
      <c r="P31" s="155">
        <f t="shared" si="15"/>
        <v>0</v>
      </c>
      <c r="Q31" s="153">
        <f t="shared" si="16"/>
        <v>77.5</v>
      </c>
      <c r="R31" s="156">
        <f t="shared" si="17"/>
        <v>88</v>
      </c>
    </row>
    <row r="32" spans="2:18" ht="18" customHeight="1" x14ac:dyDescent="0.2">
      <c r="B32" s="168">
        <v>7</v>
      </c>
      <c r="C32" s="152"/>
      <c r="D32" s="153"/>
      <c r="E32" s="153"/>
      <c r="F32" s="169" t="str">
        <f t="shared" si="10"/>
        <v/>
      </c>
      <c r="G32" s="155" t="str">
        <f t="shared" si="11"/>
        <v/>
      </c>
      <c r="H32" s="153" t="str">
        <f t="shared" si="12"/>
        <v/>
      </c>
      <c r="I32" s="156" t="str">
        <f t="shared" si="13"/>
        <v/>
      </c>
      <c r="K32" s="170">
        <v>7</v>
      </c>
      <c r="L32" s="152"/>
      <c r="M32" s="153"/>
      <c r="N32" s="153"/>
      <c r="O32" s="171" t="str">
        <f t="shared" si="14"/>
        <v/>
      </c>
      <c r="P32" s="155" t="str">
        <f t="shared" si="15"/>
        <v/>
      </c>
      <c r="Q32" s="153" t="str">
        <f t="shared" si="16"/>
        <v/>
      </c>
      <c r="R32" s="156" t="str">
        <f t="shared" si="17"/>
        <v/>
      </c>
    </row>
    <row r="33" spans="2:18" ht="18" customHeight="1" x14ac:dyDescent="0.2">
      <c r="B33" s="159">
        <v>8</v>
      </c>
      <c r="C33" s="152"/>
      <c r="D33" s="153"/>
      <c r="E33" s="153"/>
      <c r="F33" s="160" t="str">
        <f t="shared" si="10"/>
        <v/>
      </c>
      <c r="G33" s="155" t="str">
        <f t="shared" si="11"/>
        <v/>
      </c>
      <c r="H33" s="153" t="str">
        <f t="shared" si="12"/>
        <v/>
      </c>
      <c r="I33" s="156" t="str">
        <f t="shared" si="13"/>
        <v/>
      </c>
      <c r="K33" s="159">
        <v>8</v>
      </c>
      <c r="L33" s="152"/>
      <c r="M33" s="153"/>
      <c r="N33" s="153"/>
      <c r="O33" s="160" t="str">
        <f t="shared" si="14"/>
        <v/>
      </c>
      <c r="P33" s="155" t="str">
        <f t="shared" si="15"/>
        <v/>
      </c>
      <c r="Q33" s="153" t="str">
        <f t="shared" si="16"/>
        <v/>
      </c>
      <c r="R33" s="156" t="str">
        <f t="shared" si="17"/>
        <v/>
      </c>
    </row>
    <row r="34" spans="2:18" ht="18" customHeight="1" x14ac:dyDescent="0.2">
      <c r="B34" s="168">
        <v>9</v>
      </c>
      <c r="C34" s="152"/>
      <c r="D34" s="153"/>
      <c r="E34" s="153"/>
      <c r="F34" s="169" t="str">
        <f t="shared" si="10"/>
        <v/>
      </c>
      <c r="G34" s="155" t="str">
        <f t="shared" si="11"/>
        <v/>
      </c>
      <c r="H34" s="153" t="str">
        <f t="shared" si="12"/>
        <v/>
      </c>
      <c r="I34" s="156" t="str">
        <f t="shared" si="13"/>
        <v/>
      </c>
      <c r="K34" s="170">
        <v>9</v>
      </c>
      <c r="L34" s="152"/>
      <c r="M34" s="153"/>
      <c r="N34" s="153"/>
      <c r="O34" s="171" t="str">
        <f t="shared" si="14"/>
        <v/>
      </c>
      <c r="P34" s="155" t="str">
        <f t="shared" si="15"/>
        <v/>
      </c>
      <c r="Q34" s="153" t="str">
        <f t="shared" si="16"/>
        <v/>
      </c>
      <c r="R34" s="156" t="str">
        <f t="shared" si="17"/>
        <v/>
      </c>
    </row>
    <row r="35" spans="2:18" ht="18" customHeight="1" x14ac:dyDescent="0.2">
      <c r="B35" s="159">
        <v>10</v>
      </c>
      <c r="C35" s="152"/>
      <c r="D35" s="153"/>
      <c r="E35" s="153"/>
      <c r="F35" s="160" t="str">
        <f t="shared" si="10"/>
        <v/>
      </c>
      <c r="G35" s="155" t="str">
        <f t="shared" si="11"/>
        <v/>
      </c>
      <c r="H35" s="153" t="str">
        <f t="shared" si="12"/>
        <v/>
      </c>
      <c r="I35" s="156" t="str">
        <f t="shared" si="13"/>
        <v/>
      </c>
      <c r="K35" s="159">
        <v>10</v>
      </c>
      <c r="L35" s="152"/>
      <c r="M35" s="153"/>
      <c r="N35" s="153"/>
      <c r="O35" s="160" t="str">
        <f t="shared" si="14"/>
        <v/>
      </c>
      <c r="P35" s="155" t="str">
        <f t="shared" si="15"/>
        <v/>
      </c>
      <c r="Q35" s="153" t="str">
        <f t="shared" si="16"/>
        <v/>
      </c>
      <c r="R35" s="156" t="str">
        <f t="shared" si="17"/>
        <v/>
      </c>
    </row>
    <row r="36" spans="2:18" ht="18" customHeight="1" x14ac:dyDescent="0.2">
      <c r="B36" s="168">
        <v>11</v>
      </c>
      <c r="C36" s="152"/>
      <c r="D36" s="153"/>
      <c r="E36" s="153"/>
      <c r="F36" s="169" t="str">
        <f t="shared" si="10"/>
        <v/>
      </c>
      <c r="G36" s="155" t="str">
        <f t="shared" si="11"/>
        <v/>
      </c>
      <c r="H36" s="153" t="str">
        <f t="shared" si="12"/>
        <v/>
      </c>
      <c r="I36" s="156" t="str">
        <f t="shared" si="13"/>
        <v/>
      </c>
      <c r="K36" s="170">
        <v>11</v>
      </c>
      <c r="L36" s="152"/>
      <c r="M36" s="153"/>
      <c r="N36" s="153"/>
      <c r="O36" s="171" t="str">
        <f t="shared" si="14"/>
        <v/>
      </c>
      <c r="P36" s="155" t="str">
        <f t="shared" si="15"/>
        <v/>
      </c>
      <c r="Q36" s="153" t="str">
        <f t="shared" si="16"/>
        <v/>
      </c>
      <c r="R36" s="156" t="str">
        <f t="shared" si="17"/>
        <v/>
      </c>
    </row>
    <row r="37" spans="2:18" ht="18" customHeight="1" x14ac:dyDescent="0.2">
      <c r="B37" s="159">
        <v>12</v>
      </c>
      <c r="C37" s="152"/>
      <c r="D37" s="153"/>
      <c r="E37" s="153"/>
      <c r="F37" s="160" t="str">
        <f t="shared" si="10"/>
        <v/>
      </c>
      <c r="G37" s="155" t="str">
        <f t="shared" si="11"/>
        <v/>
      </c>
      <c r="H37" s="153" t="str">
        <f t="shared" si="12"/>
        <v/>
      </c>
      <c r="I37" s="156" t="str">
        <f t="shared" si="13"/>
        <v/>
      </c>
      <c r="K37" s="159">
        <v>12</v>
      </c>
      <c r="L37" s="152"/>
      <c r="M37" s="153"/>
      <c r="N37" s="153"/>
      <c r="O37" s="160" t="str">
        <f t="shared" si="14"/>
        <v/>
      </c>
      <c r="P37" s="155" t="str">
        <f t="shared" si="15"/>
        <v/>
      </c>
      <c r="Q37" s="153" t="str">
        <f t="shared" si="16"/>
        <v/>
      </c>
      <c r="R37" s="156" t="str">
        <f t="shared" si="17"/>
        <v/>
      </c>
    </row>
    <row r="38" spans="2:18" ht="18" customHeight="1" x14ac:dyDescent="0.2">
      <c r="B38" s="168">
        <v>13</v>
      </c>
      <c r="C38" s="152"/>
      <c r="D38" s="153"/>
      <c r="E38" s="153"/>
      <c r="F38" s="169" t="str">
        <f t="shared" si="10"/>
        <v/>
      </c>
      <c r="G38" s="155" t="str">
        <f t="shared" si="11"/>
        <v/>
      </c>
      <c r="H38" s="153" t="str">
        <f t="shared" si="12"/>
        <v/>
      </c>
      <c r="I38" s="156" t="str">
        <f t="shared" si="13"/>
        <v/>
      </c>
      <c r="K38" s="170">
        <v>13</v>
      </c>
      <c r="L38" s="152"/>
      <c r="M38" s="153"/>
      <c r="N38" s="153"/>
      <c r="O38" s="171" t="str">
        <f t="shared" si="14"/>
        <v/>
      </c>
      <c r="P38" s="155" t="str">
        <f t="shared" si="15"/>
        <v/>
      </c>
      <c r="Q38" s="153" t="str">
        <f t="shared" si="16"/>
        <v/>
      </c>
      <c r="R38" s="156" t="str">
        <f t="shared" si="17"/>
        <v/>
      </c>
    </row>
    <row r="39" spans="2:18" ht="21.75" customHeight="1" x14ac:dyDescent="0.2">
      <c r="B39" s="172" t="s">
        <v>271</v>
      </c>
      <c r="D39" s="173">
        <f t="shared" ref="D39:I39" si="18">IFERROR(SUM(D26:D38),0)</f>
        <v>1080</v>
      </c>
      <c r="E39" s="173">
        <f t="shared" si="18"/>
        <v>1687</v>
      </c>
      <c r="F39" s="173">
        <f t="shared" si="18"/>
        <v>607</v>
      </c>
      <c r="G39" s="173">
        <f t="shared" si="18"/>
        <v>0</v>
      </c>
      <c r="H39" s="173">
        <f t="shared" si="18"/>
        <v>540</v>
      </c>
      <c r="I39" s="173">
        <f t="shared" si="18"/>
        <v>607</v>
      </c>
      <c r="K39" s="174" t="s">
        <v>271</v>
      </c>
      <c r="M39" s="175">
        <f t="shared" ref="M39:R39" si="19">IFERROR(SUM(M26:M38),0)</f>
        <v>845</v>
      </c>
      <c r="N39" s="175">
        <f t="shared" si="19"/>
        <v>1325</v>
      </c>
      <c r="O39" s="175">
        <f t="shared" si="19"/>
        <v>480</v>
      </c>
      <c r="P39" s="175">
        <f t="shared" si="19"/>
        <v>0</v>
      </c>
      <c r="Q39" s="175">
        <f t="shared" si="19"/>
        <v>422.5</v>
      </c>
      <c r="R39" s="175">
        <f t="shared" si="19"/>
        <v>480</v>
      </c>
    </row>
    <row r="40" spans="2:18" ht="13.5" customHeight="1" x14ac:dyDescent="0.2">
      <c r="B40" s="165" t="s">
        <v>272</v>
      </c>
      <c r="C40" s="143"/>
      <c r="D40" s="143"/>
      <c r="E40" s="143"/>
      <c r="F40" s="143"/>
      <c r="G40" s="143"/>
      <c r="H40" s="143"/>
      <c r="I40" s="143"/>
      <c r="K40" s="165" t="s">
        <v>272</v>
      </c>
      <c r="L40" s="143"/>
      <c r="M40" s="143"/>
      <c r="N40" s="143"/>
      <c r="O40" s="143"/>
      <c r="P40" s="143"/>
      <c r="Q40" s="143"/>
      <c r="R40" s="143"/>
    </row>
    <row r="42" spans="2:18" ht="21.75" customHeight="1" x14ac:dyDescent="0.2">
      <c r="B42" s="176" t="s">
        <v>275</v>
      </c>
      <c r="C42" s="143"/>
      <c r="D42" s="143"/>
      <c r="E42" s="143"/>
      <c r="F42" s="143"/>
      <c r="G42" s="143"/>
      <c r="H42" s="143"/>
      <c r="I42" s="143"/>
      <c r="K42" s="177" t="s">
        <v>276</v>
      </c>
      <c r="L42" s="143"/>
      <c r="M42" s="143"/>
      <c r="N42" s="143"/>
      <c r="O42" s="143"/>
      <c r="P42" s="143"/>
      <c r="Q42" s="143"/>
      <c r="R42" s="143"/>
    </row>
    <row r="43" spans="2:18" ht="27.75" customHeight="1" x14ac:dyDescent="0.2">
      <c r="B43" s="145" t="s">
        <v>260</v>
      </c>
      <c r="C43" s="145" t="s">
        <v>177</v>
      </c>
      <c r="D43" s="146" t="s">
        <v>261</v>
      </c>
      <c r="E43" s="147" t="s">
        <v>262</v>
      </c>
      <c r="F43" s="147" t="s">
        <v>263</v>
      </c>
      <c r="G43" s="148" t="s">
        <v>264</v>
      </c>
      <c r="H43" s="149" t="s">
        <v>265</v>
      </c>
      <c r="I43" s="150" t="s">
        <v>266</v>
      </c>
      <c r="K43" s="145" t="s">
        <v>260</v>
      </c>
      <c r="L43" s="145" t="s">
        <v>177</v>
      </c>
      <c r="M43" s="146" t="s">
        <v>261</v>
      </c>
      <c r="N43" s="147" t="s">
        <v>262</v>
      </c>
      <c r="O43" s="147" t="s">
        <v>263</v>
      </c>
      <c r="P43" s="148" t="s">
        <v>264</v>
      </c>
      <c r="Q43" s="149" t="s">
        <v>265</v>
      </c>
      <c r="R43" s="150" t="s">
        <v>266</v>
      </c>
    </row>
    <row r="44" spans="2:18" ht="18" customHeight="1" x14ac:dyDescent="0.2">
      <c r="B44" s="178">
        <v>1</v>
      </c>
      <c r="C44" s="152" t="s">
        <v>174</v>
      </c>
      <c r="D44" s="153">
        <v>200</v>
      </c>
      <c r="E44" s="153">
        <v>312</v>
      </c>
      <c r="F44" s="179">
        <f t="shared" ref="F44:F56" si="20">IFERROR(IF(E44="","",E44-D44),"")</f>
        <v>112</v>
      </c>
      <c r="G44" s="155">
        <f t="shared" ref="G44:G56" si="21">IFERROR(IF(E44="","",E44*$E$3),"")</f>
        <v>0</v>
      </c>
      <c r="H44" s="153">
        <f t="shared" ref="H44:H56" si="22">IFERROR(IF(D44="","",D44*0.5),"")</f>
        <v>100</v>
      </c>
      <c r="I44" s="156">
        <f t="shared" ref="I44:I56" si="23">IFERROR(IF(F44="","",F44-G44),"")</f>
        <v>112</v>
      </c>
      <c r="K44" s="180">
        <v>1</v>
      </c>
      <c r="L44" s="152" t="s">
        <v>174</v>
      </c>
      <c r="M44" s="153">
        <v>160</v>
      </c>
      <c r="N44" s="153">
        <v>250</v>
      </c>
      <c r="O44" s="181">
        <f t="shared" ref="O44:O56" si="24">IFERROR(IF(N44="","",N44-M44),"")</f>
        <v>90</v>
      </c>
      <c r="P44" s="155">
        <f t="shared" ref="P44:P56" si="25">IFERROR(IF(N44="","",N44*$E$3),"")</f>
        <v>0</v>
      </c>
      <c r="Q44" s="153">
        <f t="shared" ref="Q44:Q56" si="26">IFERROR(IF(M44="","",M44*0.5),"")</f>
        <v>80</v>
      </c>
      <c r="R44" s="156">
        <f t="shared" ref="R44:R56" si="27">IFERROR(IF(O44="","",O44-P44),"")</f>
        <v>90</v>
      </c>
    </row>
    <row r="45" spans="2:18" ht="18" customHeight="1" x14ac:dyDescent="0.2">
      <c r="B45" s="159">
        <v>2</v>
      </c>
      <c r="C45" s="152" t="s">
        <v>267</v>
      </c>
      <c r="D45" s="153">
        <v>225</v>
      </c>
      <c r="E45" s="153">
        <v>351</v>
      </c>
      <c r="F45" s="160">
        <f t="shared" si="20"/>
        <v>126</v>
      </c>
      <c r="G45" s="155">
        <f t="shared" si="21"/>
        <v>0</v>
      </c>
      <c r="H45" s="153">
        <f t="shared" si="22"/>
        <v>112.5</v>
      </c>
      <c r="I45" s="156">
        <f t="shared" si="23"/>
        <v>126</v>
      </c>
      <c r="K45" s="159">
        <v>2</v>
      </c>
      <c r="L45" s="152" t="s">
        <v>267</v>
      </c>
      <c r="M45" s="153">
        <v>175</v>
      </c>
      <c r="N45" s="153">
        <v>273</v>
      </c>
      <c r="O45" s="160">
        <f t="shared" si="24"/>
        <v>98</v>
      </c>
      <c r="P45" s="155">
        <f t="shared" si="25"/>
        <v>0</v>
      </c>
      <c r="Q45" s="153">
        <f t="shared" si="26"/>
        <v>87.5</v>
      </c>
      <c r="R45" s="156">
        <f t="shared" si="27"/>
        <v>98</v>
      </c>
    </row>
    <row r="46" spans="2:18" ht="18" customHeight="1" x14ac:dyDescent="0.2">
      <c r="B46" s="178">
        <v>3</v>
      </c>
      <c r="C46" s="152" t="s">
        <v>268</v>
      </c>
      <c r="D46" s="153">
        <v>185</v>
      </c>
      <c r="E46" s="153">
        <v>289</v>
      </c>
      <c r="F46" s="179">
        <f t="shared" si="20"/>
        <v>104</v>
      </c>
      <c r="G46" s="155">
        <f t="shared" si="21"/>
        <v>0</v>
      </c>
      <c r="H46" s="153">
        <f t="shared" si="22"/>
        <v>92.5</v>
      </c>
      <c r="I46" s="156">
        <f t="shared" si="23"/>
        <v>104</v>
      </c>
      <c r="K46" s="180">
        <v>3</v>
      </c>
      <c r="L46" s="152" t="s">
        <v>268</v>
      </c>
      <c r="M46" s="153">
        <v>145</v>
      </c>
      <c r="N46" s="153">
        <v>226</v>
      </c>
      <c r="O46" s="181">
        <f t="shared" si="24"/>
        <v>81</v>
      </c>
      <c r="P46" s="155">
        <f t="shared" si="25"/>
        <v>0</v>
      </c>
      <c r="Q46" s="153">
        <f t="shared" si="26"/>
        <v>72.5</v>
      </c>
      <c r="R46" s="156">
        <f t="shared" si="27"/>
        <v>81</v>
      </c>
    </row>
    <row r="47" spans="2:18" ht="18" customHeight="1" x14ac:dyDescent="0.2">
      <c r="B47" s="159">
        <v>4</v>
      </c>
      <c r="C47" s="152" t="s">
        <v>269</v>
      </c>
      <c r="D47" s="153">
        <v>240</v>
      </c>
      <c r="E47" s="153">
        <v>375</v>
      </c>
      <c r="F47" s="160">
        <f t="shared" si="20"/>
        <v>135</v>
      </c>
      <c r="G47" s="155">
        <f t="shared" si="21"/>
        <v>0</v>
      </c>
      <c r="H47" s="153">
        <f t="shared" si="22"/>
        <v>120</v>
      </c>
      <c r="I47" s="156">
        <f t="shared" si="23"/>
        <v>135</v>
      </c>
      <c r="K47" s="159">
        <v>4</v>
      </c>
      <c r="L47" s="152" t="s">
        <v>269</v>
      </c>
      <c r="M47" s="153">
        <v>190</v>
      </c>
      <c r="N47" s="153">
        <v>297</v>
      </c>
      <c r="O47" s="160">
        <f t="shared" si="24"/>
        <v>107</v>
      </c>
      <c r="P47" s="155">
        <f t="shared" si="25"/>
        <v>0</v>
      </c>
      <c r="Q47" s="153">
        <f t="shared" si="26"/>
        <v>95</v>
      </c>
      <c r="R47" s="156">
        <f t="shared" si="27"/>
        <v>107</v>
      </c>
    </row>
    <row r="48" spans="2:18" ht="18" customHeight="1" x14ac:dyDescent="0.2">
      <c r="B48" s="178">
        <v>5</v>
      </c>
      <c r="C48" s="152" t="s">
        <v>270</v>
      </c>
      <c r="D48" s="153">
        <v>210</v>
      </c>
      <c r="E48" s="153">
        <v>328</v>
      </c>
      <c r="F48" s="179">
        <f t="shared" si="20"/>
        <v>118</v>
      </c>
      <c r="G48" s="155">
        <f t="shared" si="21"/>
        <v>0</v>
      </c>
      <c r="H48" s="153">
        <f t="shared" si="22"/>
        <v>105</v>
      </c>
      <c r="I48" s="156">
        <f t="shared" si="23"/>
        <v>118</v>
      </c>
      <c r="K48" s="180">
        <v>5</v>
      </c>
      <c r="L48" s="152" t="s">
        <v>270</v>
      </c>
      <c r="M48" s="153">
        <v>165</v>
      </c>
      <c r="N48" s="153">
        <v>258</v>
      </c>
      <c r="O48" s="181">
        <f t="shared" si="24"/>
        <v>93</v>
      </c>
      <c r="P48" s="155">
        <f t="shared" si="25"/>
        <v>0</v>
      </c>
      <c r="Q48" s="153">
        <f t="shared" si="26"/>
        <v>82.5</v>
      </c>
      <c r="R48" s="156">
        <f t="shared" si="27"/>
        <v>93</v>
      </c>
    </row>
    <row r="49" spans="2:18" ht="18" customHeight="1" x14ac:dyDescent="0.2">
      <c r="B49" s="159">
        <v>6</v>
      </c>
      <c r="C49" s="152" t="s">
        <v>188</v>
      </c>
      <c r="D49" s="153">
        <v>255</v>
      </c>
      <c r="E49" s="153">
        <v>398</v>
      </c>
      <c r="F49" s="160">
        <f t="shared" si="20"/>
        <v>143</v>
      </c>
      <c r="G49" s="155">
        <f t="shared" si="21"/>
        <v>0</v>
      </c>
      <c r="H49" s="153">
        <f t="shared" si="22"/>
        <v>127.5</v>
      </c>
      <c r="I49" s="156">
        <f t="shared" si="23"/>
        <v>143</v>
      </c>
      <c r="K49" s="159">
        <v>6</v>
      </c>
      <c r="L49" s="152" t="s">
        <v>188</v>
      </c>
      <c r="M49" s="153">
        <v>200</v>
      </c>
      <c r="N49" s="153">
        <v>312</v>
      </c>
      <c r="O49" s="160">
        <f t="shared" si="24"/>
        <v>112</v>
      </c>
      <c r="P49" s="155">
        <f t="shared" si="25"/>
        <v>0</v>
      </c>
      <c r="Q49" s="153">
        <f t="shared" si="26"/>
        <v>100</v>
      </c>
      <c r="R49" s="156">
        <f t="shared" si="27"/>
        <v>112</v>
      </c>
    </row>
    <row r="50" spans="2:18" ht="18" customHeight="1" x14ac:dyDescent="0.2">
      <c r="B50" s="178">
        <v>7</v>
      </c>
      <c r="C50" s="152"/>
      <c r="D50" s="153"/>
      <c r="E50" s="153"/>
      <c r="F50" s="179" t="str">
        <f t="shared" si="20"/>
        <v/>
      </c>
      <c r="G50" s="155" t="str">
        <f t="shared" si="21"/>
        <v/>
      </c>
      <c r="H50" s="153" t="str">
        <f t="shared" si="22"/>
        <v/>
      </c>
      <c r="I50" s="156" t="str">
        <f t="shared" si="23"/>
        <v/>
      </c>
      <c r="K50" s="180">
        <v>7</v>
      </c>
      <c r="L50" s="152"/>
      <c r="M50" s="153"/>
      <c r="N50" s="153"/>
      <c r="O50" s="181" t="str">
        <f t="shared" si="24"/>
        <v/>
      </c>
      <c r="P50" s="155" t="str">
        <f t="shared" si="25"/>
        <v/>
      </c>
      <c r="Q50" s="153" t="str">
        <f t="shared" si="26"/>
        <v/>
      </c>
      <c r="R50" s="156" t="str">
        <f t="shared" si="27"/>
        <v/>
      </c>
    </row>
    <row r="51" spans="2:18" ht="18" customHeight="1" x14ac:dyDescent="0.2">
      <c r="B51" s="159">
        <v>8</v>
      </c>
      <c r="C51" s="152"/>
      <c r="D51" s="153"/>
      <c r="E51" s="153"/>
      <c r="F51" s="160" t="str">
        <f t="shared" si="20"/>
        <v/>
      </c>
      <c r="G51" s="155" t="str">
        <f t="shared" si="21"/>
        <v/>
      </c>
      <c r="H51" s="153" t="str">
        <f t="shared" si="22"/>
        <v/>
      </c>
      <c r="I51" s="156" t="str">
        <f t="shared" si="23"/>
        <v/>
      </c>
      <c r="K51" s="159">
        <v>8</v>
      </c>
      <c r="L51" s="152"/>
      <c r="M51" s="153"/>
      <c r="N51" s="153"/>
      <c r="O51" s="160" t="str">
        <f t="shared" si="24"/>
        <v/>
      </c>
      <c r="P51" s="155" t="str">
        <f t="shared" si="25"/>
        <v/>
      </c>
      <c r="Q51" s="153" t="str">
        <f t="shared" si="26"/>
        <v/>
      </c>
      <c r="R51" s="156" t="str">
        <f t="shared" si="27"/>
        <v/>
      </c>
    </row>
    <row r="52" spans="2:18" ht="18" customHeight="1" x14ac:dyDescent="0.2">
      <c r="B52" s="178">
        <v>9</v>
      </c>
      <c r="C52" s="152"/>
      <c r="D52" s="153"/>
      <c r="E52" s="153"/>
      <c r="F52" s="179" t="str">
        <f t="shared" si="20"/>
        <v/>
      </c>
      <c r="G52" s="155" t="str">
        <f t="shared" si="21"/>
        <v/>
      </c>
      <c r="H52" s="153" t="str">
        <f t="shared" si="22"/>
        <v/>
      </c>
      <c r="I52" s="156" t="str">
        <f t="shared" si="23"/>
        <v/>
      </c>
      <c r="K52" s="180">
        <v>9</v>
      </c>
      <c r="L52" s="152"/>
      <c r="M52" s="153"/>
      <c r="N52" s="153"/>
      <c r="O52" s="181" t="str">
        <f t="shared" si="24"/>
        <v/>
      </c>
      <c r="P52" s="155" t="str">
        <f t="shared" si="25"/>
        <v/>
      </c>
      <c r="Q52" s="153" t="str">
        <f t="shared" si="26"/>
        <v/>
      </c>
      <c r="R52" s="156" t="str">
        <f t="shared" si="27"/>
        <v/>
      </c>
    </row>
    <row r="53" spans="2:18" ht="18" customHeight="1" x14ac:dyDescent="0.2">
      <c r="B53" s="159">
        <v>10</v>
      </c>
      <c r="C53" s="152"/>
      <c r="D53" s="153"/>
      <c r="E53" s="153"/>
      <c r="F53" s="160" t="str">
        <f t="shared" si="20"/>
        <v/>
      </c>
      <c r="G53" s="155" t="str">
        <f t="shared" si="21"/>
        <v/>
      </c>
      <c r="H53" s="153" t="str">
        <f t="shared" si="22"/>
        <v/>
      </c>
      <c r="I53" s="156" t="str">
        <f t="shared" si="23"/>
        <v/>
      </c>
      <c r="K53" s="159">
        <v>10</v>
      </c>
      <c r="L53" s="152"/>
      <c r="M53" s="153"/>
      <c r="N53" s="153"/>
      <c r="O53" s="160" t="str">
        <f t="shared" si="24"/>
        <v/>
      </c>
      <c r="P53" s="155" t="str">
        <f t="shared" si="25"/>
        <v/>
      </c>
      <c r="Q53" s="153" t="str">
        <f t="shared" si="26"/>
        <v/>
      </c>
      <c r="R53" s="156" t="str">
        <f t="shared" si="27"/>
        <v/>
      </c>
    </row>
    <row r="54" spans="2:18" ht="18" customHeight="1" x14ac:dyDescent="0.2">
      <c r="B54" s="178">
        <v>11</v>
      </c>
      <c r="C54" s="152"/>
      <c r="D54" s="153"/>
      <c r="E54" s="153"/>
      <c r="F54" s="179" t="str">
        <f t="shared" si="20"/>
        <v/>
      </c>
      <c r="G54" s="155" t="str">
        <f t="shared" si="21"/>
        <v/>
      </c>
      <c r="H54" s="153" t="str">
        <f t="shared" si="22"/>
        <v/>
      </c>
      <c r="I54" s="156" t="str">
        <f t="shared" si="23"/>
        <v/>
      </c>
      <c r="K54" s="180">
        <v>11</v>
      </c>
      <c r="L54" s="152"/>
      <c r="M54" s="153"/>
      <c r="N54" s="153"/>
      <c r="O54" s="181" t="str">
        <f t="shared" si="24"/>
        <v/>
      </c>
      <c r="P54" s="155" t="str">
        <f t="shared" si="25"/>
        <v/>
      </c>
      <c r="Q54" s="153" t="str">
        <f t="shared" si="26"/>
        <v/>
      </c>
      <c r="R54" s="156" t="str">
        <f t="shared" si="27"/>
        <v/>
      </c>
    </row>
    <row r="55" spans="2:18" ht="18" customHeight="1" x14ac:dyDescent="0.2">
      <c r="B55" s="159">
        <v>12</v>
      </c>
      <c r="C55" s="152"/>
      <c r="D55" s="153"/>
      <c r="E55" s="153"/>
      <c r="F55" s="160" t="str">
        <f t="shared" si="20"/>
        <v/>
      </c>
      <c r="G55" s="155" t="str">
        <f t="shared" si="21"/>
        <v/>
      </c>
      <c r="H55" s="153" t="str">
        <f t="shared" si="22"/>
        <v/>
      </c>
      <c r="I55" s="156" t="str">
        <f t="shared" si="23"/>
        <v/>
      </c>
      <c r="K55" s="159">
        <v>12</v>
      </c>
      <c r="L55" s="152"/>
      <c r="M55" s="153"/>
      <c r="N55" s="153"/>
      <c r="O55" s="160" t="str">
        <f t="shared" si="24"/>
        <v/>
      </c>
      <c r="P55" s="155" t="str">
        <f t="shared" si="25"/>
        <v/>
      </c>
      <c r="Q55" s="153" t="str">
        <f t="shared" si="26"/>
        <v/>
      </c>
      <c r="R55" s="156" t="str">
        <f t="shared" si="27"/>
        <v/>
      </c>
    </row>
    <row r="56" spans="2:18" ht="18" customHeight="1" x14ac:dyDescent="0.2">
      <c r="B56" s="178">
        <v>13</v>
      </c>
      <c r="C56" s="152"/>
      <c r="D56" s="153"/>
      <c r="E56" s="153"/>
      <c r="F56" s="179" t="str">
        <f t="shared" si="20"/>
        <v/>
      </c>
      <c r="G56" s="155" t="str">
        <f t="shared" si="21"/>
        <v/>
      </c>
      <c r="H56" s="153" t="str">
        <f t="shared" si="22"/>
        <v/>
      </c>
      <c r="I56" s="156" t="str">
        <f t="shared" si="23"/>
        <v/>
      </c>
      <c r="K56" s="180">
        <v>13</v>
      </c>
      <c r="L56" s="152"/>
      <c r="M56" s="153"/>
      <c r="N56" s="153"/>
      <c r="O56" s="181" t="str">
        <f t="shared" si="24"/>
        <v/>
      </c>
      <c r="P56" s="155" t="str">
        <f t="shared" si="25"/>
        <v/>
      </c>
      <c r="Q56" s="153" t="str">
        <f t="shared" si="26"/>
        <v/>
      </c>
      <c r="R56" s="156" t="str">
        <f t="shared" si="27"/>
        <v/>
      </c>
    </row>
    <row r="57" spans="2:18" ht="21.75" customHeight="1" x14ac:dyDescent="0.2">
      <c r="B57" s="182" t="s">
        <v>271</v>
      </c>
      <c r="D57" s="183">
        <f t="shared" ref="D57:I57" si="28">IFERROR(SUM(D44:D56),0)</f>
        <v>1315</v>
      </c>
      <c r="E57" s="183">
        <f t="shared" si="28"/>
        <v>2053</v>
      </c>
      <c r="F57" s="183">
        <f t="shared" si="28"/>
        <v>738</v>
      </c>
      <c r="G57" s="183">
        <f t="shared" si="28"/>
        <v>0</v>
      </c>
      <c r="H57" s="183">
        <f t="shared" si="28"/>
        <v>657.5</v>
      </c>
      <c r="I57" s="183">
        <f t="shared" si="28"/>
        <v>738</v>
      </c>
      <c r="K57" s="184" t="s">
        <v>271</v>
      </c>
      <c r="M57" s="185">
        <f t="shared" ref="M57:R57" si="29">IFERROR(SUM(M44:M56),0)</f>
        <v>1035</v>
      </c>
      <c r="N57" s="185">
        <f t="shared" si="29"/>
        <v>1616</v>
      </c>
      <c r="O57" s="185">
        <f t="shared" si="29"/>
        <v>581</v>
      </c>
      <c r="P57" s="185">
        <f t="shared" si="29"/>
        <v>0</v>
      </c>
      <c r="Q57" s="185">
        <f t="shared" si="29"/>
        <v>517.5</v>
      </c>
      <c r="R57" s="185">
        <f t="shared" si="29"/>
        <v>581</v>
      </c>
    </row>
    <row r="58" spans="2:18" ht="13.5" customHeight="1" x14ac:dyDescent="0.2">
      <c r="B58" s="165" t="s">
        <v>272</v>
      </c>
      <c r="C58" s="143"/>
      <c r="D58" s="143"/>
      <c r="E58" s="143"/>
      <c r="F58" s="143"/>
      <c r="G58" s="143"/>
      <c r="H58" s="143"/>
      <c r="I58" s="143"/>
      <c r="K58" s="165" t="s">
        <v>272</v>
      </c>
      <c r="L58" s="143"/>
      <c r="M58" s="143"/>
      <c r="N58" s="143"/>
      <c r="O58" s="143"/>
      <c r="P58" s="143"/>
      <c r="Q58" s="143"/>
      <c r="R58" s="143"/>
    </row>
    <row r="60" spans="2:18" ht="21.75" customHeight="1" x14ac:dyDescent="0.2">
      <c r="B60" s="186" t="s">
        <v>277</v>
      </c>
      <c r="C60" s="143"/>
      <c r="D60" s="143"/>
      <c r="E60" s="143"/>
      <c r="F60" s="143"/>
      <c r="G60" s="143"/>
      <c r="H60" s="143"/>
      <c r="I60" s="143"/>
      <c r="K60" s="142" t="s">
        <v>278</v>
      </c>
      <c r="L60" s="143"/>
      <c r="M60" s="143"/>
      <c r="N60" s="143"/>
      <c r="O60" s="143"/>
      <c r="P60" s="143"/>
      <c r="Q60" s="143"/>
      <c r="R60" s="143"/>
    </row>
    <row r="61" spans="2:18" ht="27.75" customHeight="1" x14ac:dyDescent="0.2">
      <c r="B61" s="145" t="s">
        <v>260</v>
      </c>
      <c r="C61" s="145" t="s">
        <v>177</v>
      </c>
      <c r="D61" s="146" t="s">
        <v>261</v>
      </c>
      <c r="E61" s="147" t="s">
        <v>262</v>
      </c>
      <c r="F61" s="147" t="s">
        <v>263</v>
      </c>
      <c r="G61" s="148" t="s">
        <v>264</v>
      </c>
      <c r="H61" s="149" t="s">
        <v>265</v>
      </c>
      <c r="I61" s="150" t="s">
        <v>266</v>
      </c>
      <c r="K61" s="145" t="s">
        <v>260</v>
      </c>
      <c r="L61" s="145" t="s">
        <v>177</v>
      </c>
      <c r="M61" s="146" t="s">
        <v>261</v>
      </c>
      <c r="N61" s="147" t="s">
        <v>262</v>
      </c>
      <c r="O61" s="147" t="s">
        <v>263</v>
      </c>
      <c r="P61" s="148" t="s">
        <v>264</v>
      </c>
      <c r="Q61" s="149" t="s">
        <v>265</v>
      </c>
      <c r="R61" s="150" t="s">
        <v>266</v>
      </c>
    </row>
    <row r="62" spans="2:18" ht="18" customHeight="1" x14ac:dyDescent="0.2">
      <c r="B62" s="187">
        <v>1</v>
      </c>
      <c r="C62" s="152" t="s">
        <v>174</v>
      </c>
      <c r="D62" s="153">
        <v>80</v>
      </c>
      <c r="E62" s="153">
        <v>125</v>
      </c>
      <c r="F62" s="188">
        <f t="shared" ref="F62:F74" si="30">IFERROR(IF(E62="","",E62-D62),"")</f>
        <v>45</v>
      </c>
      <c r="G62" s="155">
        <f t="shared" ref="G62:G74" si="31">IFERROR(IF(E62="","",E62*$E$3),"")</f>
        <v>0</v>
      </c>
      <c r="H62" s="153">
        <f t="shared" ref="H62:H74" si="32">IFERROR(IF(D62="","",D62*0.5),"")</f>
        <v>40</v>
      </c>
      <c r="I62" s="156">
        <f t="shared" ref="I62:I74" si="33">IFERROR(IF(F62="","",F62-G62),"")</f>
        <v>45</v>
      </c>
      <c r="K62" s="151">
        <v>1</v>
      </c>
      <c r="L62" s="152" t="s">
        <v>174</v>
      </c>
      <c r="M62" s="153">
        <v>250</v>
      </c>
      <c r="N62" s="153">
        <v>390</v>
      </c>
      <c r="O62" s="154">
        <f t="shared" ref="O62:O74" si="34">IFERROR(IF(N62="","",N62-M62),"")</f>
        <v>140</v>
      </c>
      <c r="P62" s="155">
        <f t="shared" ref="P62:P74" si="35">IFERROR(IF(N62="","",N62*$E$3),"")</f>
        <v>0</v>
      </c>
      <c r="Q62" s="153">
        <f t="shared" ref="Q62:Q74" si="36">IFERROR(IF(M62="","",M62*0.5),"")</f>
        <v>125</v>
      </c>
      <c r="R62" s="156">
        <f t="shared" ref="R62:R74" si="37">IFERROR(IF(O62="","",O62-P62),"")</f>
        <v>140</v>
      </c>
    </row>
    <row r="63" spans="2:18" ht="18" customHeight="1" x14ac:dyDescent="0.2">
      <c r="B63" s="159">
        <v>2</v>
      </c>
      <c r="C63" s="152" t="s">
        <v>267</v>
      </c>
      <c r="D63" s="153">
        <v>95</v>
      </c>
      <c r="E63" s="153">
        <v>148</v>
      </c>
      <c r="F63" s="160">
        <f t="shared" si="30"/>
        <v>53</v>
      </c>
      <c r="G63" s="155">
        <f t="shared" si="31"/>
        <v>0</v>
      </c>
      <c r="H63" s="153">
        <f t="shared" si="32"/>
        <v>47.5</v>
      </c>
      <c r="I63" s="156">
        <f t="shared" si="33"/>
        <v>53</v>
      </c>
      <c r="K63" s="159">
        <v>2</v>
      </c>
      <c r="L63" s="152" t="s">
        <v>267</v>
      </c>
      <c r="M63" s="153">
        <v>280</v>
      </c>
      <c r="N63" s="153">
        <v>437</v>
      </c>
      <c r="O63" s="160">
        <f t="shared" si="34"/>
        <v>157</v>
      </c>
      <c r="P63" s="155">
        <f t="shared" si="35"/>
        <v>0</v>
      </c>
      <c r="Q63" s="153">
        <f t="shared" si="36"/>
        <v>140</v>
      </c>
      <c r="R63" s="156">
        <f t="shared" si="37"/>
        <v>157</v>
      </c>
    </row>
    <row r="64" spans="2:18" ht="18" customHeight="1" x14ac:dyDescent="0.2">
      <c r="B64" s="187">
        <v>3</v>
      </c>
      <c r="C64" s="152" t="s">
        <v>268</v>
      </c>
      <c r="D64" s="153">
        <v>75</v>
      </c>
      <c r="E64" s="153">
        <v>117</v>
      </c>
      <c r="F64" s="188">
        <f t="shared" si="30"/>
        <v>42</v>
      </c>
      <c r="G64" s="155">
        <f t="shared" si="31"/>
        <v>0</v>
      </c>
      <c r="H64" s="153">
        <f t="shared" si="32"/>
        <v>37.5</v>
      </c>
      <c r="I64" s="156">
        <f t="shared" si="33"/>
        <v>42</v>
      </c>
      <c r="K64" s="151">
        <v>3</v>
      </c>
      <c r="L64" s="152" t="s">
        <v>268</v>
      </c>
      <c r="M64" s="153">
        <v>265</v>
      </c>
      <c r="N64" s="153">
        <v>413</v>
      </c>
      <c r="O64" s="154">
        <f t="shared" si="34"/>
        <v>148</v>
      </c>
      <c r="P64" s="155">
        <f t="shared" si="35"/>
        <v>0</v>
      </c>
      <c r="Q64" s="153">
        <f t="shared" si="36"/>
        <v>132.5</v>
      </c>
      <c r="R64" s="156">
        <f t="shared" si="37"/>
        <v>148</v>
      </c>
    </row>
    <row r="65" spans="2:18" ht="18" customHeight="1" x14ac:dyDescent="0.2">
      <c r="B65" s="159">
        <v>4</v>
      </c>
      <c r="C65" s="152" t="s">
        <v>269</v>
      </c>
      <c r="D65" s="153">
        <v>110</v>
      </c>
      <c r="E65" s="153">
        <v>172</v>
      </c>
      <c r="F65" s="160">
        <f t="shared" si="30"/>
        <v>62</v>
      </c>
      <c r="G65" s="155">
        <f t="shared" si="31"/>
        <v>0</v>
      </c>
      <c r="H65" s="153">
        <f t="shared" si="32"/>
        <v>55</v>
      </c>
      <c r="I65" s="156">
        <f t="shared" si="33"/>
        <v>62</v>
      </c>
      <c r="K65" s="159">
        <v>4</v>
      </c>
      <c r="L65" s="152" t="s">
        <v>269</v>
      </c>
      <c r="M65" s="153">
        <v>310</v>
      </c>
      <c r="N65" s="153">
        <v>484</v>
      </c>
      <c r="O65" s="160">
        <f t="shared" si="34"/>
        <v>174</v>
      </c>
      <c r="P65" s="155">
        <f t="shared" si="35"/>
        <v>0</v>
      </c>
      <c r="Q65" s="153">
        <f t="shared" si="36"/>
        <v>155</v>
      </c>
      <c r="R65" s="156">
        <f t="shared" si="37"/>
        <v>174</v>
      </c>
    </row>
    <row r="66" spans="2:18" ht="18" customHeight="1" x14ac:dyDescent="0.2">
      <c r="B66" s="187">
        <v>5</v>
      </c>
      <c r="C66" s="152" t="s">
        <v>270</v>
      </c>
      <c r="D66" s="153">
        <v>85</v>
      </c>
      <c r="E66" s="153">
        <v>133</v>
      </c>
      <c r="F66" s="188">
        <f t="shared" si="30"/>
        <v>48</v>
      </c>
      <c r="G66" s="155">
        <f t="shared" si="31"/>
        <v>0</v>
      </c>
      <c r="H66" s="153">
        <f t="shared" si="32"/>
        <v>42.5</v>
      </c>
      <c r="I66" s="156">
        <f t="shared" si="33"/>
        <v>48</v>
      </c>
      <c r="K66" s="151">
        <v>5</v>
      </c>
      <c r="L66" s="152" t="s">
        <v>270</v>
      </c>
      <c r="M66" s="153">
        <v>290</v>
      </c>
      <c r="N66" s="153">
        <v>453</v>
      </c>
      <c r="O66" s="154">
        <f t="shared" si="34"/>
        <v>163</v>
      </c>
      <c r="P66" s="155">
        <f t="shared" si="35"/>
        <v>0</v>
      </c>
      <c r="Q66" s="153">
        <f t="shared" si="36"/>
        <v>145</v>
      </c>
      <c r="R66" s="156">
        <f t="shared" si="37"/>
        <v>163</v>
      </c>
    </row>
    <row r="67" spans="2:18" ht="18" customHeight="1" x14ac:dyDescent="0.2">
      <c r="B67" s="159">
        <v>6</v>
      </c>
      <c r="C67" s="152" t="s">
        <v>188</v>
      </c>
      <c r="D67" s="153">
        <v>100</v>
      </c>
      <c r="E67" s="153">
        <v>156</v>
      </c>
      <c r="F67" s="160">
        <f t="shared" si="30"/>
        <v>56</v>
      </c>
      <c r="G67" s="155">
        <f t="shared" si="31"/>
        <v>0</v>
      </c>
      <c r="H67" s="153">
        <f t="shared" si="32"/>
        <v>50</v>
      </c>
      <c r="I67" s="156">
        <f t="shared" si="33"/>
        <v>56</v>
      </c>
      <c r="K67" s="159">
        <v>6</v>
      </c>
      <c r="L67" s="152" t="s">
        <v>188</v>
      </c>
      <c r="M67" s="153">
        <v>320</v>
      </c>
      <c r="N67" s="153">
        <v>500</v>
      </c>
      <c r="O67" s="160">
        <f t="shared" si="34"/>
        <v>180</v>
      </c>
      <c r="P67" s="155">
        <f t="shared" si="35"/>
        <v>0</v>
      </c>
      <c r="Q67" s="153">
        <f t="shared" si="36"/>
        <v>160</v>
      </c>
      <c r="R67" s="156">
        <f t="shared" si="37"/>
        <v>180</v>
      </c>
    </row>
    <row r="68" spans="2:18" ht="18" customHeight="1" x14ac:dyDescent="0.2">
      <c r="B68" s="187">
        <v>7</v>
      </c>
      <c r="C68" s="152"/>
      <c r="D68" s="153"/>
      <c r="E68" s="153"/>
      <c r="F68" s="188" t="str">
        <f t="shared" si="30"/>
        <v/>
      </c>
      <c r="G68" s="155" t="str">
        <f t="shared" si="31"/>
        <v/>
      </c>
      <c r="H68" s="153" t="str">
        <f t="shared" si="32"/>
        <v/>
      </c>
      <c r="I68" s="156" t="str">
        <f t="shared" si="33"/>
        <v/>
      </c>
      <c r="K68" s="151">
        <v>7</v>
      </c>
      <c r="L68" s="152"/>
      <c r="M68" s="153"/>
      <c r="N68" s="153"/>
      <c r="O68" s="154" t="str">
        <f t="shared" si="34"/>
        <v/>
      </c>
      <c r="P68" s="155" t="str">
        <f t="shared" si="35"/>
        <v/>
      </c>
      <c r="Q68" s="153" t="str">
        <f t="shared" si="36"/>
        <v/>
      </c>
      <c r="R68" s="156" t="str">
        <f t="shared" si="37"/>
        <v/>
      </c>
    </row>
    <row r="69" spans="2:18" ht="18" customHeight="1" x14ac:dyDescent="0.2">
      <c r="B69" s="159">
        <v>8</v>
      </c>
      <c r="C69" s="152"/>
      <c r="D69" s="153"/>
      <c r="E69" s="153"/>
      <c r="F69" s="160" t="str">
        <f t="shared" si="30"/>
        <v/>
      </c>
      <c r="G69" s="155" t="str">
        <f t="shared" si="31"/>
        <v/>
      </c>
      <c r="H69" s="153" t="str">
        <f t="shared" si="32"/>
        <v/>
      </c>
      <c r="I69" s="156" t="str">
        <f t="shared" si="33"/>
        <v/>
      </c>
      <c r="K69" s="159">
        <v>8</v>
      </c>
      <c r="L69" s="152"/>
      <c r="M69" s="153"/>
      <c r="N69" s="153"/>
      <c r="O69" s="160" t="str">
        <f t="shared" si="34"/>
        <v/>
      </c>
      <c r="P69" s="155" t="str">
        <f t="shared" si="35"/>
        <v/>
      </c>
      <c r="Q69" s="153" t="str">
        <f t="shared" si="36"/>
        <v/>
      </c>
      <c r="R69" s="156" t="str">
        <f t="shared" si="37"/>
        <v/>
      </c>
    </row>
    <row r="70" spans="2:18" ht="18" customHeight="1" x14ac:dyDescent="0.2">
      <c r="B70" s="187">
        <v>9</v>
      </c>
      <c r="C70" s="152"/>
      <c r="D70" s="153"/>
      <c r="E70" s="153"/>
      <c r="F70" s="188" t="str">
        <f t="shared" si="30"/>
        <v/>
      </c>
      <c r="G70" s="155" t="str">
        <f t="shared" si="31"/>
        <v/>
      </c>
      <c r="H70" s="153" t="str">
        <f t="shared" si="32"/>
        <v/>
      </c>
      <c r="I70" s="156" t="str">
        <f t="shared" si="33"/>
        <v/>
      </c>
      <c r="K70" s="151">
        <v>9</v>
      </c>
      <c r="L70" s="152"/>
      <c r="M70" s="153"/>
      <c r="N70" s="153"/>
      <c r="O70" s="154" t="str">
        <f t="shared" si="34"/>
        <v/>
      </c>
      <c r="P70" s="155" t="str">
        <f t="shared" si="35"/>
        <v/>
      </c>
      <c r="Q70" s="153" t="str">
        <f t="shared" si="36"/>
        <v/>
      </c>
      <c r="R70" s="156" t="str">
        <f t="shared" si="37"/>
        <v/>
      </c>
    </row>
    <row r="71" spans="2:18" ht="18" customHeight="1" x14ac:dyDescent="0.2">
      <c r="B71" s="159">
        <v>10</v>
      </c>
      <c r="C71" s="152"/>
      <c r="D71" s="153"/>
      <c r="E71" s="153"/>
      <c r="F71" s="160" t="str">
        <f t="shared" si="30"/>
        <v/>
      </c>
      <c r="G71" s="155" t="str">
        <f t="shared" si="31"/>
        <v/>
      </c>
      <c r="H71" s="153" t="str">
        <f t="shared" si="32"/>
        <v/>
      </c>
      <c r="I71" s="156" t="str">
        <f t="shared" si="33"/>
        <v/>
      </c>
      <c r="K71" s="159">
        <v>10</v>
      </c>
      <c r="L71" s="152"/>
      <c r="M71" s="153"/>
      <c r="N71" s="153"/>
      <c r="O71" s="160" t="str">
        <f t="shared" si="34"/>
        <v/>
      </c>
      <c r="P71" s="155" t="str">
        <f t="shared" si="35"/>
        <v/>
      </c>
      <c r="Q71" s="153" t="str">
        <f t="shared" si="36"/>
        <v/>
      </c>
      <c r="R71" s="156" t="str">
        <f t="shared" si="37"/>
        <v/>
      </c>
    </row>
    <row r="72" spans="2:18" ht="18" customHeight="1" x14ac:dyDescent="0.2">
      <c r="B72" s="187">
        <v>11</v>
      </c>
      <c r="C72" s="152"/>
      <c r="D72" s="153"/>
      <c r="E72" s="153"/>
      <c r="F72" s="188" t="str">
        <f t="shared" si="30"/>
        <v/>
      </c>
      <c r="G72" s="155" t="str">
        <f t="shared" si="31"/>
        <v/>
      </c>
      <c r="H72" s="153" t="str">
        <f t="shared" si="32"/>
        <v/>
      </c>
      <c r="I72" s="156" t="str">
        <f t="shared" si="33"/>
        <v/>
      </c>
      <c r="K72" s="151">
        <v>11</v>
      </c>
      <c r="L72" s="152"/>
      <c r="M72" s="153"/>
      <c r="N72" s="153"/>
      <c r="O72" s="154" t="str">
        <f t="shared" si="34"/>
        <v/>
      </c>
      <c r="P72" s="155" t="str">
        <f t="shared" si="35"/>
        <v/>
      </c>
      <c r="Q72" s="153" t="str">
        <f t="shared" si="36"/>
        <v/>
      </c>
      <c r="R72" s="156" t="str">
        <f t="shared" si="37"/>
        <v/>
      </c>
    </row>
    <row r="73" spans="2:18" ht="18" customHeight="1" x14ac:dyDescent="0.2">
      <c r="B73" s="159">
        <v>12</v>
      </c>
      <c r="C73" s="152"/>
      <c r="D73" s="153"/>
      <c r="E73" s="153"/>
      <c r="F73" s="160" t="str">
        <f t="shared" si="30"/>
        <v/>
      </c>
      <c r="G73" s="155" t="str">
        <f t="shared" si="31"/>
        <v/>
      </c>
      <c r="H73" s="153" t="str">
        <f t="shared" si="32"/>
        <v/>
      </c>
      <c r="I73" s="156" t="str">
        <f t="shared" si="33"/>
        <v/>
      </c>
      <c r="K73" s="159">
        <v>12</v>
      </c>
      <c r="L73" s="152"/>
      <c r="M73" s="153"/>
      <c r="N73" s="153"/>
      <c r="O73" s="160" t="str">
        <f t="shared" si="34"/>
        <v/>
      </c>
      <c r="P73" s="155" t="str">
        <f t="shared" si="35"/>
        <v/>
      </c>
      <c r="Q73" s="153" t="str">
        <f t="shared" si="36"/>
        <v/>
      </c>
      <c r="R73" s="156" t="str">
        <f t="shared" si="37"/>
        <v/>
      </c>
    </row>
    <row r="74" spans="2:18" ht="18" customHeight="1" x14ac:dyDescent="0.2">
      <c r="B74" s="187">
        <v>13</v>
      </c>
      <c r="C74" s="152"/>
      <c r="D74" s="153"/>
      <c r="E74" s="153"/>
      <c r="F74" s="188" t="str">
        <f t="shared" si="30"/>
        <v/>
      </c>
      <c r="G74" s="155" t="str">
        <f t="shared" si="31"/>
        <v/>
      </c>
      <c r="H74" s="153" t="str">
        <f t="shared" si="32"/>
        <v/>
      </c>
      <c r="I74" s="156" t="str">
        <f t="shared" si="33"/>
        <v/>
      </c>
      <c r="K74" s="151">
        <v>13</v>
      </c>
      <c r="L74" s="152"/>
      <c r="M74" s="153"/>
      <c r="N74" s="153"/>
      <c r="O74" s="154" t="str">
        <f t="shared" si="34"/>
        <v/>
      </c>
      <c r="P74" s="155" t="str">
        <f t="shared" si="35"/>
        <v/>
      </c>
      <c r="Q74" s="153" t="str">
        <f t="shared" si="36"/>
        <v/>
      </c>
      <c r="R74" s="156" t="str">
        <f t="shared" si="37"/>
        <v/>
      </c>
    </row>
    <row r="75" spans="2:18" ht="21.75" customHeight="1" x14ac:dyDescent="0.2">
      <c r="B75" s="189" t="s">
        <v>271</v>
      </c>
      <c r="D75" s="190">
        <f t="shared" ref="D75:I75" si="38">IFERROR(SUM(D62:D74),0)</f>
        <v>545</v>
      </c>
      <c r="E75" s="190">
        <f t="shared" si="38"/>
        <v>851</v>
      </c>
      <c r="F75" s="190">
        <f t="shared" si="38"/>
        <v>306</v>
      </c>
      <c r="G75" s="190">
        <f t="shared" si="38"/>
        <v>0</v>
      </c>
      <c r="H75" s="190">
        <f t="shared" si="38"/>
        <v>272.5</v>
      </c>
      <c r="I75" s="190">
        <f t="shared" si="38"/>
        <v>306</v>
      </c>
      <c r="K75" s="161" t="s">
        <v>271</v>
      </c>
      <c r="M75" s="162">
        <f t="shared" ref="M75:R75" si="39">IFERROR(SUM(M62:M74),0)</f>
        <v>1715</v>
      </c>
      <c r="N75" s="162">
        <f t="shared" si="39"/>
        <v>2677</v>
      </c>
      <c r="O75" s="162">
        <f t="shared" si="39"/>
        <v>962</v>
      </c>
      <c r="P75" s="162">
        <f t="shared" si="39"/>
        <v>0</v>
      </c>
      <c r="Q75" s="162">
        <f t="shared" si="39"/>
        <v>857.5</v>
      </c>
      <c r="R75" s="162">
        <f t="shared" si="39"/>
        <v>962</v>
      </c>
    </row>
    <row r="76" spans="2:18" ht="13.5" customHeight="1" x14ac:dyDescent="0.2">
      <c r="B76" s="165" t="s">
        <v>272</v>
      </c>
      <c r="C76" s="143"/>
      <c r="D76" s="143"/>
      <c r="E76" s="143"/>
      <c r="F76" s="143"/>
      <c r="G76" s="143"/>
      <c r="H76" s="143"/>
      <c r="I76" s="143"/>
      <c r="K76" s="165" t="s">
        <v>272</v>
      </c>
      <c r="L76" s="143"/>
      <c r="M76" s="143"/>
      <c r="N76" s="143"/>
      <c r="O76" s="143"/>
      <c r="P76" s="143"/>
      <c r="Q76" s="143"/>
      <c r="R76" s="143"/>
    </row>
    <row r="79" spans="2:18" ht="31.5" customHeight="1" x14ac:dyDescent="0.2">
      <c r="B79" s="232" t="s">
        <v>279</v>
      </c>
      <c r="C79" s="232"/>
      <c r="D79" s="232"/>
      <c r="E79" s="232"/>
      <c r="F79" s="232"/>
      <c r="G79" s="232"/>
    </row>
    <row r="81" spans="2:7" ht="21.75" customHeight="1" x14ac:dyDescent="0.2">
      <c r="B81" s="145" t="s">
        <v>112</v>
      </c>
      <c r="C81" s="147" t="s">
        <v>280</v>
      </c>
      <c r="D81" s="146" t="s">
        <v>281</v>
      </c>
      <c r="E81" s="147" t="s">
        <v>282</v>
      </c>
      <c r="F81" s="148" t="s">
        <v>283</v>
      </c>
      <c r="G81" s="150" t="s">
        <v>284</v>
      </c>
    </row>
    <row r="82" spans="2:7" ht="18" customHeight="1" x14ac:dyDescent="0.2">
      <c r="B82" s="191" t="s">
        <v>285</v>
      </c>
      <c r="C82" s="192">
        <f>E21</f>
        <v>4110</v>
      </c>
      <c r="D82" s="193">
        <f>D21</f>
        <v>2645</v>
      </c>
      <c r="E82" s="192">
        <f>F21</f>
        <v>1465</v>
      </c>
      <c r="F82" s="194">
        <f>G21</f>
        <v>0</v>
      </c>
      <c r="G82" s="195">
        <f>I21</f>
        <v>1465</v>
      </c>
    </row>
    <row r="83" spans="2:7" ht="18" customHeight="1" x14ac:dyDescent="0.2">
      <c r="B83" s="196" t="s">
        <v>286</v>
      </c>
      <c r="C83" s="160">
        <f>N21</f>
        <v>2835</v>
      </c>
      <c r="D83" s="197">
        <f>M21</f>
        <v>1830</v>
      </c>
      <c r="E83" s="160">
        <f>O21</f>
        <v>1005</v>
      </c>
      <c r="F83" s="198">
        <f>P21</f>
        <v>0</v>
      </c>
      <c r="G83" s="199">
        <f>R21</f>
        <v>1005</v>
      </c>
    </row>
    <row r="84" spans="2:7" ht="18" customHeight="1" x14ac:dyDescent="0.2">
      <c r="B84" s="191" t="s">
        <v>287</v>
      </c>
      <c r="C84" s="192">
        <f>E39</f>
        <v>1687</v>
      </c>
      <c r="D84" s="193">
        <f>D39</f>
        <v>1080</v>
      </c>
      <c r="E84" s="192">
        <f>F39</f>
        <v>607</v>
      </c>
      <c r="F84" s="194">
        <f>G39</f>
        <v>0</v>
      </c>
      <c r="G84" s="195">
        <f>I39</f>
        <v>607</v>
      </c>
    </row>
    <row r="85" spans="2:7" ht="18" customHeight="1" x14ac:dyDescent="0.2">
      <c r="B85" s="196" t="s">
        <v>288</v>
      </c>
      <c r="C85" s="160">
        <f>N39</f>
        <v>1325</v>
      </c>
      <c r="D85" s="197">
        <f>M39</f>
        <v>845</v>
      </c>
      <c r="E85" s="160">
        <f>O39</f>
        <v>480</v>
      </c>
      <c r="F85" s="198">
        <f>P39</f>
        <v>0</v>
      </c>
      <c r="G85" s="199">
        <f>R39</f>
        <v>480</v>
      </c>
    </row>
    <row r="86" spans="2:7" ht="18" customHeight="1" x14ac:dyDescent="0.2">
      <c r="B86" s="191" t="s">
        <v>289</v>
      </c>
      <c r="C86" s="192">
        <f>E57</f>
        <v>2053</v>
      </c>
      <c r="D86" s="193">
        <f>D57</f>
        <v>1315</v>
      </c>
      <c r="E86" s="192">
        <f>F57</f>
        <v>738</v>
      </c>
      <c r="F86" s="194">
        <f>G57</f>
        <v>0</v>
      </c>
      <c r="G86" s="195">
        <f>I57</f>
        <v>738</v>
      </c>
    </row>
    <row r="87" spans="2:7" ht="18" customHeight="1" x14ac:dyDescent="0.2">
      <c r="B87" s="196" t="s">
        <v>290</v>
      </c>
      <c r="C87" s="160">
        <f>N57</f>
        <v>1616</v>
      </c>
      <c r="D87" s="197">
        <f>M57</f>
        <v>1035</v>
      </c>
      <c r="E87" s="160">
        <f>O57</f>
        <v>581</v>
      </c>
      <c r="F87" s="198">
        <f>P57</f>
        <v>0</v>
      </c>
      <c r="G87" s="199">
        <f>R57</f>
        <v>581</v>
      </c>
    </row>
    <row r="88" spans="2:7" ht="18" customHeight="1" x14ac:dyDescent="0.2">
      <c r="B88" s="191" t="s">
        <v>291</v>
      </c>
      <c r="C88" s="192">
        <f>E75</f>
        <v>851</v>
      </c>
      <c r="D88" s="193">
        <f>D75</f>
        <v>545</v>
      </c>
      <c r="E88" s="192">
        <f>F75</f>
        <v>306</v>
      </c>
      <c r="F88" s="194">
        <f>G75</f>
        <v>0</v>
      </c>
      <c r="G88" s="195">
        <f>I75</f>
        <v>306</v>
      </c>
    </row>
    <row r="89" spans="2:7" ht="18" customHeight="1" x14ac:dyDescent="0.2">
      <c r="B89" s="196" t="s">
        <v>292</v>
      </c>
      <c r="C89" s="160">
        <f>N75</f>
        <v>2677</v>
      </c>
      <c r="D89" s="197">
        <f>M75</f>
        <v>1715</v>
      </c>
      <c r="E89" s="160">
        <f>O75</f>
        <v>962</v>
      </c>
      <c r="F89" s="198">
        <f>P75</f>
        <v>0</v>
      </c>
      <c r="G89" s="199">
        <f>R75</f>
        <v>962</v>
      </c>
    </row>
    <row r="90" spans="2:7" ht="21.75" customHeight="1" x14ac:dyDescent="0.2">
      <c r="B90" s="200" t="s">
        <v>271</v>
      </c>
      <c r="C90" s="201">
        <f>SUM(C82:C89)</f>
        <v>17154</v>
      </c>
      <c r="D90" s="201">
        <f>SUM(D82:D89)</f>
        <v>11010</v>
      </c>
      <c r="E90" s="201">
        <f>SUM(E82:E89)</f>
        <v>6144</v>
      </c>
      <c r="F90" s="201">
        <f>SUM(F82:F89)</f>
        <v>0</v>
      </c>
      <c r="G90" s="201">
        <f>SUM(G82:G89)</f>
        <v>6144</v>
      </c>
    </row>
  </sheetData>
  <mergeCells count="4">
    <mergeCell ref="D2:N2"/>
    <mergeCell ref="B79:G79"/>
    <mergeCell ref="A1:O1"/>
    <mergeCell ref="P1:R6"/>
  </mergeCells>
  <dataValidations count="2">
    <dataValidation type="list" allowBlank="1" sqref="C8:C20 L8:L20 C26:C38 L26:L38 C44:C56 L44:L56 C62:C74 L62:L74" xr:uid="{00000000-0002-0000-0500-000000000000}">
      <formula1>"ENERO,FEBRERO,MARZO,ABRIL,MAYO,JUNIO,JULIO,AGOSTO,SEPTIEMBRE,OCTUBRE,NOVIEMBRE,DICIEMBRE"</formula1>
      <formula2>0</formula2>
    </dataValidation>
    <dataValidation type="list" allowBlank="1" sqref="B8:B20 K8:K20 B26:B38 K26:K38 B44:B56 K44:K56 B62:B74 K62:K74" xr:uid="{00000000-0002-0000-0500-000001000000}">
      <formula1>"1,2,3,4,5,6,7,8,9,10,11,12,13"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8"/>
  <sheetViews>
    <sheetView zoomScale="120" zoomScaleNormal="12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L15" sqref="L15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7.6640625" bestFit="1" customWidth="1"/>
  </cols>
  <sheetData>
    <row r="1" spans="1:11" ht="31.5" customHeight="1" x14ac:dyDescent="0.2">
      <c r="A1" s="310" t="e" vm="1">
        <v>#VALUE!</v>
      </c>
      <c r="B1" s="311" t="s">
        <v>293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307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06000000}"/>
  <mergeCells count="5">
    <mergeCell ref="A1:A3"/>
    <mergeCell ref="B1:K1"/>
    <mergeCell ref="B2:K2"/>
    <mergeCell ref="B3:K3"/>
    <mergeCell ref="B108:C108"/>
  </mergeCells>
  <conditionalFormatting sqref="A5:K104">
    <cfRule type="expression" dxfId="2" priority="2">
      <formula>$H5="PAGADO"</formula>
    </cfRule>
    <cfRule type="expression" dxfId="1" priority="3">
      <formula>$H5="FALTA CANCELAR"</formula>
    </cfRule>
    <cfRule type="expression" dxfId="0" priority="4">
      <formula>$H5="ADELANTO"</formula>
    </cfRule>
  </conditionalFormatting>
  <dataValidations count="4">
    <dataValidation type="list" allowBlank="1" sqref="A5:A104" xr:uid="{00000000-0002-0000-0600-000000000000}">
      <formula1>"1,2,3,4,5,6,7,8,9,10,11,12,13,14,15,16,17,18,19,20,21,22,23,24,25,26"</formula1>
      <formula2>0</formula2>
    </dataValidation>
    <dataValidation type="list" allowBlank="1" sqref="E5:E104" xr:uid="{00000000-0002-0000-0600-000001000000}">
      <formula1>"YANBAL,ESIKA,CYZONE,LBEL,NATURA,AVON,FARMASI,ORIFLAME,OTRO"</formula1>
      <formula2>0</formula2>
    </dataValidation>
    <dataValidation type="list" allowBlank="1" sqref="G5:G104" xr:uid="{00000000-0002-0000-0600-000002000000}">
      <formula1>"YAPE,PLIN,EFECTIVO,TRANSFERENCIA,MIXTO"</formula1>
      <formula2>0</formula2>
    </dataValidation>
    <dataValidation type="list" allowBlank="1" sqref="H5:H104" xr:uid="{00000000-0002-0000-06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3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1" customWidth="1"/>
  </cols>
  <sheetData>
    <row r="1" spans="1:11" ht="31.5" customHeight="1" x14ac:dyDescent="0.2">
      <c r="A1" s="310" t="e" vm="1">
        <v>#VALUE!</v>
      </c>
      <c r="B1" s="311" t="s">
        <v>312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313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07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0700-000000000000}">
      <formula1>"1,2,3,4,5,6,7,8,9,10,11,12,13,14,15,16,17,18,19,20,21,22,23,24,25,26"</formula1>
      <formula2>0</formula2>
    </dataValidation>
    <dataValidation type="list" allowBlank="1" sqref="E5:E104" xr:uid="{00000000-0002-0000-0700-000001000000}">
      <formula1>"YANBAL,ESIKA,CYZONE,LBEL,NATURA,AVON,FARMASI,ORIFLAME,OTRO"</formula1>
      <formula2>0</formula2>
    </dataValidation>
    <dataValidation type="list" allowBlank="1" sqref="G5:G104" xr:uid="{00000000-0002-0000-0700-000002000000}">
      <formula1>"YAPE,PLIN,EFECTIVO,TRANSFERENCIA,MIXTO"</formula1>
      <formula2>0</formula2>
    </dataValidation>
    <dataValidation type="list" allowBlank="1" sqref="H5:H104" xr:uid="{00000000-0002-0000-07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8"/>
  <sheetViews>
    <sheetView zoomScaleNormal="100" workbookViewId="0">
      <pane xSplit="2" ySplit="5" topLeftCell="C6" activePane="bottomRight" state="frozen"/>
      <selection pane="topRight"/>
      <selection pane="bottomLeft"/>
      <selection pane="bottomRight" sqref="A1:A3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1" customWidth="1"/>
  </cols>
  <sheetData>
    <row r="1" spans="1:11" ht="31.5" customHeight="1" x14ac:dyDescent="0.2">
      <c r="A1" s="310" t="e" vm="1">
        <v>#VALUE!</v>
      </c>
      <c r="B1" s="311" t="s">
        <v>314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315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08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0800-000000000000}">
      <formula1>"1,2,3,4,5,6,7,8,9,10,11,12,13,14,15,16,17,18,19,20,21,22,23,24,25,26"</formula1>
      <formula2>0</formula2>
    </dataValidation>
    <dataValidation type="list" allowBlank="1" sqref="E5:E104" xr:uid="{00000000-0002-0000-0800-000001000000}">
      <formula1>"YANBAL,ESIKA,CYZONE,LBEL,NATURA,AVON,FARMASI,ORIFLAME,OTRO"</formula1>
      <formula2>0</formula2>
    </dataValidation>
    <dataValidation type="list" allowBlank="1" sqref="G5:G104" xr:uid="{00000000-0002-0000-0800-000002000000}">
      <formula1>"YAPE,PLIN,EFECTIVO,TRANSFERENCIA,MIXTO"</formula1>
      <formula2>0</formula2>
    </dataValidation>
    <dataValidation type="list" allowBlank="1" sqref="H5:H104" xr:uid="{00000000-0002-0000-08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5" sqref="J5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1" customWidth="1"/>
  </cols>
  <sheetData>
    <row r="1" spans="1:11" ht="31.5" customHeight="1" x14ac:dyDescent="0.2">
      <c r="A1" s="310" t="e" vm="1">
        <v>#VALUE!</v>
      </c>
      <c r="B1" s="311" t="s">
        <v>316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345</v>
      </c>
      <c r="I5" s="212">
        <v>50</v>
      </c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317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0</v>
      </c>
      <c r="C108" s="313"/>
      <c r="D108" s="143"/>
      <c r="E108" s="223">
        <f>COUNTIF(H5:H104,"PAGADO")</f>
        <v>0</v>
      </c>
      <c r="F108" s="143"/>
      <c r="G108" s="224">
        <f>COUNTIF(H5:H104,"FALTA CANCELAR")</f>
        <v>0</v>
      </c>
      <c r="H108" s="143"/>
      <c r="I108">
        <f>IFERROR(SUMIF(H5:H104,"ADELANTO",F5:F104),0)</f>
        <v>90</v>
      </c>
      <c r="J108" s="225">
        <f>IFERROR(SUM(I5:I104),0)</f>
        <v>50</v>
      </c>
      <c r="K108" s="143">
        <f>IFERROR(SUM(K5:K104),0)</f>
        <v>9</v>
      </c>
    </row>
  </sheetData>
  <autoFilter ref="A4:K108" xr:uid="{00000000-0009-0000-0000-000009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0900-000000000000}">
      <formula1>"1,2,3,4,5,6,7,8,9,10,11,12,13,14,15,16,17,18,19,20,21,22,23,24,25,26"</formula1>
      <formula2>0</formula2>
    </dataValidation>
    <dataValidation type="list" allowBlank="1" sqref="E5:E104" xr:uid="{00000000-0002-0000-0900-000001000000}">
      <formula1>"YANBAL,ESIKA,CYZONE,LBEL,NATURA,AVON,FARMASI,ORIFLAME,OTRO"</formula1>
      <formula2>0</formula2>
    </dataValidation>
    <dataValidation type="list" allowBlank="1" sqref="G5:G104" xr:uid="{00000000-0002-0000-0900-000002000000}">
      <formula1>"YAPE,PLIN,EFECTIVO,TRANSFERENCIA,MIXTO"</formula1>
      <formula2>0</formula2>
    </dataValidation>
    <dataValidation type="list" allowBlank="1" sqref="H5:H104" xr:uid="{00000000-0002-0000-09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3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1" customWidth="1"/>
  </cols>
  <sheetData>
    <row r="1" spans="1:11" ht="31.5" customHeight="1" x14ac:dyDescent="0.2">
      <c r="A1" s="310" t="e" vm="1">
        <v>#VALUE!</v>
      </c>
      <c r="B1" s="311" t="s">
        <v>318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319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0A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0A00-000000000000}">
      <formula1>"1,2,3,4,5,6,7,8,9,10,11,12,13,14,15,16,17,18,19,20,21,22,23,24,25,26"</formula1>
      <formula2>0</formula2>
    </dataValidation>
    <dataValidation type="list" allowBlank="1" sqref="E5:E104" xr:uid="{00000000-0002-0000-0A00-000001000000}">
      <formula1>"YANBAL,ESIKA,CYZONE,LBEL,NATURA,AVON,FARMASI,ORIFLAME,OTRO"</formula1>
      <formula2>0</formula2>
    </dataValidation>
    <dataValidation type="list" allowBlank="1" sqref="G5:G104" xr:uid="{00000000-0002-0000-0A00-000002000000}">
      <formula1>"YAPE,PLIN,EFECTIVO,TRANSFERENCIA,MIXTO"</formula1>
      <formula2>0</formula2>
    </dataValidation>
    <dataValidation type="list" allowBlank="1" sqref="H5:H104" xr:uid="{00000000-0002-0000-0A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8"/>
  <sheetViews>
    <sheetView zoomScaleNormal="100" workbookViewId="0">
      <pane xSplit="2" ySplit="5" topLeftCell="H6" activePane="bottomRight" state="frozen"/>
      <selection pane="topRight" activeCell="C1" sqref="C1"/>
      <selection pane="bottomLeft" activeCell="A6" sqref="A6"/>
      <selection pane="bottomRight" activeCell="O1" sqref="O1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7.6640625" bestFit="1" customWidth="1"/>
  </cols>
  <sheetData>
    <row r="1" spans="1:11" ht="31.5" customHeight="1" x14ac:dyDescent="0.2">
      <c r="A1" s="310" t="e" vm="1">
        <v>#VALUE!</v>
      </c>
      <c r="B1" s="311" t="s">
        <v>320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321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0B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0B00-000000000000}">
      <formula1>"1,2,3,4,5,6,7,8,9,10,11,12,13,14,15,16,17,18,19,20,21,22,23,24,25,26"</formula1>
      <formula2>0</formula2>
    </dataValidation>
    <dataValidation type="list" allowBlank="1" sqref="E5:E104" xr:uid="{00000000-0002-0000-0B00-000001000000}">
      <formula1>"YANBAL,ESIKA,CYZONE,LBEL,NATURA,AVON,FARMASI,ORIFLAME,OTRO"</formula1>
      <formula2>0</formula2>
    </dataValidation>
    <dataValidation type="list" allowBlank="1" sqref="G5:G104" xr:uid="{00000000-0002-0000-0B00-000002000000}">
      <formula1>"YAPE,PLIN,EFECTIVO,TRANSFERENCIA,MIXTO"</formula1>
      <formula2>0</formula2>
    </dataValidation>
    <dataValidation type="list" allowBlank="1" sqref="H5:H104" xr:uid="{00000000-0002-0000-0B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3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1" customWidth="1"/>
  </cols>
  <sheetData>
    <row r="1" spans="1:11" ht="31.5" customHeight="1" x14ac:dyDescent="0.2">
      <c r="A1" s="310" t="e" vm="1">
        <v>#VALUE!</v>
      </c>
      <c r="B1" s="311" t="s">
        <v>322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323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0C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0C00-000000000000}">
      <formula1>"1,2,3,4,5,6,7,8,9,10,11,12,13,14,15,16,17,18,19,20,21,22,23,24,25,26"</formula1>
      <formula2>0</formula2>
    </dataValidation>
    <dataValidation type="list" allowBlank="1" sqref="E5:E104" xr:uid="{00000000-0002-0000-0C00-000001000000}">
      <formula1>"YANBAL,ESIKA,CYZONE,LBEL,NATURA,AVON,FARMASI,ORIFLAME,OTRO"</formula1>
      <formula2>0</formula2>
    </dataValidation>
    <dataValidation type="list" allowBlank="1" sqref="G5:G104" xr:uid="{00000000-0002-0000-0C00-000002000000}">
      <formula1>"YAPE,PLIN,EFECTIVO,TRANSFERENCIA,MIXTO"</formula1>
      <formula2>0</formula2>
    </dataValidation>
    <dataValidation type="list" allowBlank="1" sqref="H5:H104" xr:uid="{00000000-0002-0000-0C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3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1" customWidth="1"/>
  </cols>
  <sheetData>
    <row r="1" spans="1:11" ht="31.5" customHeight="1" x14ac:dyDescent="0.2">
      <c r="A1" s="310" t="e" vm="1">
        <v>#VALUE!</v>
      </c>
      <c r="B1" s="311" t="s">
        <v>324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325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0D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0D00-000000000000}">
      <formula1>"1,2,3,4,5,6,7,8,9,10,11,12,13,14,15,16,17,18,19,20,21,22,23,24,25,26"</formula1>
      <formula2>0</formula2>
    </dataValidation>
    <dataValidation type="list" allowBlank="1" sqref="E5:E104" xr:uid="{00000000-0002-0000-0D00-000001000000}">
      <formula1>"YANBAL,ESIKA,CYZONE,LBEL,NATURA,AVON,FARMASI,ORIFLAME,OTRO"</formula1>
      <formula2>0</formula2>
    </dataValidation>
    <dataValidation type="list" allowBlank="1" sqref="G5:G104" xr:uid="{00000000-0002-0000-0D00-000002000000}">
      <formula1>"YAPE,PLIN,EFECTIVO,TRANSFERENCIA,MIXTO"</formula1>
      <formula2>0</formula2>
    </dataValidation>
    <dataValidation type="list" allowBlank="1" sqref="H5:H104" xr:uid="{00000000-0002-0000-0D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3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1" customWidth="1"/>
  </cols>
  <sheetData>
    <row r="1" spans="1:11" ht="31.5" customHeight="1" x14ac:dyDescent="0.2">
      <c r="A1" s="310" t="e" vm="1">
        <v>#VALUE!</v>
      </c>
      <c r="B1" s="311" t="s">
        <v>326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327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0E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0E00-000000000000}">
      <formula1>"1,2,3,4,5,6,7,8,9,10,11,12,13,14,15,16,17,18,19,20,21,22,23,24,25,26"</formula1>
      <formula2>0</formula2>
    </dataValidation>
    <dataValidation type="list" allowBlank="1" sqref="E5:E104" xr:uid="{00000000-0002-0000-0E00-000001000000}">
      <formula1>"YANBAL,ESIKA,CYZONE,LBEL,NATURA,AVON,FARMASI,ORIFLAME,OTRO"</formula1>
      <formula2>0</formula2>
    </dataValidation>
    <dataValidation type="list" allowBlank="1" sqref="G5:G104" xr:uid="{00000000-0002-0000-0E00-000002000000}">
      <formula1>"YAPE,PLIN,EFECTIVO,TRANSFERENCIA,MIXTO"</formula1>
      <formula2>0</formula2>
    </dataValidation>
    <dataValidation type="list" allowBlank="1" sqref="H5:H104" xr:uid="{00000000-0002-0000-0E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3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1" customWidth="1"/>
  </cols>
  <sheetData>
    <row r="1" spans="1:11" ht="31.5" customHeight="1" x14ac:dyDescent="0.2">
      <c r="A1" s="310" t="e" vm="1">
        <v>#VALUE!</v>
      </c>
      <c r="B1" s="311" t="s">
        <v>328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329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0F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0F00-000000000000}">
      <formula1>"1,2,3,4,5,6,7,8,9,10,11,12,13,14,15,16,17,18,19,20,21,22,23,24,25,26"</formula1>
      <formula2>0</formula2>
    </dataValidation>
    <dataValidation type="list" allowBlank="1" sqref="E5:E104" xr:uid="{00000000-0002-0000-0F00-000001000000}">
      <formula1>"YANBAL,ESIKA,CYZONE,LBEL,NATURA,AVON,FARMASI,ORIFLAME,OTRO"</formula1>
      <formula2>0</formula2>
    </dataValidation>
    <dataValidation type="list" allowBlank="1" sqref="G5:G104" xr:uid="{00000000-0002-0000-0F00-000002000000}">
      <formula1>"YAPE,PLIN,EFECTIVO,TRANSFERENCIA,MIXTO"</formula1>
      <formula2>0</formula2>
    </dataValidation>
    <dataValidation type="list" allowBlank="1" sqref="H5:H104" xr:uid="{00000000-0002-0000-0F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3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1" customWidth="1"/>
  </cols>
  <sheetData>
    <row r="1" spans="1:11" ht="31.5" customHeight="1" x14ac:dyDescent="0.2">
      <c r="A1" s="310" t="e" vm="1">
        <v>#VALUE!</v>
      </c>
      <c r="B1" s="311" t="s">
        <v>330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331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10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1000-000000000000}">
      <formula1>"1,2,3,4,5,6,7,8,9,10,11,12,13,14,15,16,17,18,19,20,21,22,23,24,25,26"</formula1>
      <formula2>0</formula2>
    </dataValidation>
    <dataValidation type="list" allowBlank="1" sqref="E5:E104" xr:uid="{00000000-0002-0000-1000-000001000000}">
      <formula1>"YANBAL,ESIKA,CYZONE,LBEL,NATURA,AVON,FARMASI,ORIFLAME,OTRO"</formula1>
      <formula2>0</formula2>
    </dataValidation>
    <dataValidation type="list" allowBlank="1" sqref="G5:G104" xr:uid="{00000000-0002-0000-1000-000002000000}">
      <formula1>"YAPE,PLIN,EFECTIVO,TRANSFERENCIA,MIXTO"</formula1>
      <formula2>0</formula2>
    </dataValidation>
    <dataValidation type="list" allowBlank="1" sqref="H5:H104" xr:uid="{00000000-0002-0000-10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0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3"/>
    </sheetView>
  </sheetViews>
  <sheetFormatPr baseColWidth="10" defaultColWidth="8.6640625" defaultRowHeight="15" x14ac:dyDescent="0.2"/>
  <cols>
    <col min="1" max="1" width="15.83203125" customWidth="1"/>
    <col min="2" max="2" width="8.5" customWidth="1"/>
    <col min="3" max="3" width="22" customWidth="1"/>
    <col min="4" max="4" width="30" customWidth="1"/>
    <col min="5" max="5" width="13" customWidth="1"/>
    <col min="6" max="6" width="15.83203125" customWidth="1"/>
    <col min="7" max="7" width="14" customWidth="1"/>
    <col min="8" max="8" width="16" customWidth="1"/>
    <col min="9" max="9" width="11" customWidth="1"/>
    <col min="10" max="10" width="20" customWidth="1"/>
    <col min="11" max="11" width="11" customWidth="1"/>
  </cols>
  <sheetData>
    <row r="1" spans="1:11" ht="31.5" customHeight="1" x14ac:dyDescent="0.2">
      <c r="A1" s="310" t="e" vm="1">
        <v>#VALUE!</v>
      </c>
      <c r="B1" s="311" t="s">
        <v>332</v>
      </c>
      <c r="C1" s="311"/>
      <c r="D1" s="311"/>
      <c r="E1" s="311"/>
      <c r="F1" s="311"/>
      <c r="G1" s="311"/>
      <c r="H1" s="311"/>
      <c r="I1" s="311"/>
      <c r="J1" s="311"/>
      <c r="K1" s="311"/>
    </row>
    <row r="2" spans="1:11" ht="13.5" customHeight="1" x14ac:dyDescent="0.2">
      <c r="A2" s="310"/>
      <c r="B2" s="312" t="s">
        <v>294</v>
      </c>
      <c r="C2" s="312"/>
      <c r="D2" s="312"/>
      <c r="E2" s="312"/>
      <c r="F2" s="312"/>
      <c r="G2" s="312"/>
      <c r="H2" s="312"/>
      <c r="I2" s="312"/>
      <c r="J2" s="312"/>
      <c r="K2" s="312"/>
    </row>
    <row r="3" spans="1:11" ht="13.5" customHeight="1" x14ac:dyDescent="0.2">
      <c r="A3" s="310"/>
      <c r="B3" s="231" t="s">
        <v>295</v>
      </c>
      <c r="C3" s="231"/>
      <c r="D3" s="231"/>
      <c r="E3" s="231"/>
      <c r="F3" s="231"/>
      <c r="G3" s="231"/>
      <c r="H3" s="231"/>
      <c r="I3" s="231"/>
      <c r="J3" s="231"/>
      <c r="K3" s="231"/>
    </row>
    <row r="4" spans="1:11" ht="30" customHeight="1" x14ac:dyDescent="0.2">
      <c r="A4" s="202" t="s">
        <v>260</v>
      </c>
      <c r="B4" s="203" t="s">
        <v>111</v>
      </c>
      <c r="C4" s="203" t="s">
        <v>296</v>
      </c>
      <c r="D4" s="203" t="s">
        <v>113</v>
      </c>
      <c r="E4" s="203" t="s">
        <v>112</v>
      </c>
      <c r="F4" s="203" t="s">
        <v>297</v>
      </c>
      <c r="G4" s="204" t="s">
        <v>298</v>
      </c>
      <c r="H4" s="204" t="s">
        <v>299</v>
      </c>
      <c r="I4" s="205" t="s">
        <v>300</v>
      </c>
      <c r="J4" s="203" t="s">
        <v>301</v>
      </c>
      <c r="K4" s="204" t="s">
        <v>302</v>
      </c>
    </row>
    <row r="5" spans="1:11" ht="18" customHeight="1" x14ac:dyDescent="0.2">
      <c r="A5" s="206">
        <v>2</v>
      </c>
      <c r="B5" s="207">
        <v>1</v>
      </c>
      <c r="C5" s="208" t="s">
        <v>303</v>
      </c>
      <c r="D5" s="208" t="s">
        <v>304</v>
      </c>
      <c r="E5" s="209" t="s">
        <v>135</v>
      </c>
      <c r="F5" s="210">
        <v>90</v>
      </c>
      <c r="G5" s="209" t="s">
        <v>305</v>
      </c>
      <c r="H5" s="211" t="s">
        <v>306</v>
      </c>
      <c r="I5" s="212"/>
      <c r="J5" s="208"/>
      <c r="K5" s="213">
        <f>IF(F5="","",F5*'🏠 INICIO'!C8)</f>
        <v>9</v>
      </c>
    </row>
    <row r="6" spans="1:11" ht="18" customHeight="1" x14ac:dyDescent="0.2">
      <c r="A6" s="206">
        <v>5</v>
      </c>
      <c r="B6" s="214">
        <v>2</v>
      </c>
      <c r="C6" s="215"/>
      <c r="D6" s="215"/>
      <c r="E6" s="216"/>
      <c r="F6" s="217"/>
      <c r="G6" s="216"/>
      <c r="H6" s="211"/>
      <c r="I6" s="212"/>
      <c r="J6" s="215"/>
      <c r="K6" s="218" t="str">
        <f>IF(F6="","",F6*'🏠 INICIO'!C8)</f>
        <v/>
      </c>
    </row>
    <row r="7" spans="1:11" ht="18" customHeight="1" x14ac:dyDescent="0.2">
      <c r="A7" s="206"/>
      <c r="B7" s="207">
        <v>3</v>
      </c>
      <c r="C7" s="208"/>
      <c r="D7" s="208"/>
      <c r="E7" s="209"/>
      <c r="F7" s="210"/>
      <c r="G7" s="209"/>
      <c r="H7" s="211"/>
      <c r="I7" s="212"/>
      <c r="J7" s="208"/>
      <c r="K7" s="213" t="str">
        <f>IF(F7="","",F7*'🏠 INICIO'!C8)</f>
        <v/>
      </c>
    </row>
    <row r="8" spans="1:11" ht="18" customHeight="1" x14ac:dyDescent="0.2">
      <c r="A8" s="206"/>
      <c r="B8" s="214">
        <v>4</v>
      </c>
      <c r="C8" s="215"/>
      <c r="D8" s="215"/>
      <c r="E8" s="216"/>
      <c r="F8" s="217"/>
      <c r="G8" s="216"/>
      <c r="H8" s="211"/>
      <c r="I8" s="212"/>
      <c r="J8" s="215"/>
      <c r="K8" s="218" t="str">
        <f>IF(F8="","",F8*'🏠 INICIO'!C8)</f>
        <v/>
      </c>
    </row>
    <row r="9" spans="1:11" ht="18" customHeight="1" x14ac:dyDescent="0.2">
      <c r="A9" s="206"/>
      <c r="B9" s="207">
        <v>5</v>
      </c>
      <c r="C9" s="208"/>
      <c r="D9" s="208"/>
      <c r="E9" s="209"/>
      <c r="F9" s="210"/>
      <c r="G9" s="209"/>
      <c r="H9" s="211"/>
      <c r="I9" s="212"/>
      <c r="J9" s="208"/>
      <c r="K9" s="213" t="str">
        <f>IF(F9="","",F9*'🏠 INICIO'!C8)</f>
        <v/>
      </c>
    </row>
    <row r="10" spans="1:11" ht="18" customHeight="1" x14ac:dyDescent="0.2">
      <c r="A10" s="206"/>
      <c r="B10" s="214">
        <v>6</v>
      </c>
      <c r="C10" s="215"/>
      <c r="D10" s="215"/>
      <c r="E10" s="216"/>
      <c r="F10" s="217"/>
      <c r="G10" s="216"/>
      <c r="H10" s="211"/>
      <c r="I10" s="212"/>
      <c r="J10" s="215"/>
      <c r="K10" s="218" t="str">
        <f>IF(F10="","",F10*'🏠 INICIO'!C8)</f>
        <v/>
      </c>
    </row>
    <row r="11" spans="1:11" ht="18" customHeight="1" x14ac:dyDescent="0.2">
      <c r="A11" s="206"/>
      <c r="B11" s="207">
        <v>7</v>
      </c>
      <c r="C11" s="208"/>
      <c r="D11" s="208"/>
      <c r="E11" s="209"/>
      <c r="F11" s="210"/>
      <c r="G11" s="209"/>
      <c r="H11" s="211"/>
      <c r="I11" s="212"/>
      <c r="J11" s="208"/>
      <c r="K11" s="213" t="str">
        <f>IF(F11="","",F11*'🏠 INICIO'!C8)</f>
        <v/>
      </c>
    </row>
    <row r="12" spans="1:11" ht="18" customHeight="1" x14ac:dyDescent="0.2">
      <c r="A12" s="206"/>
      <c r="B12" s="214">
        <v>8</v>
      </c>
      <c r="C12" s="208"/>
      <c r="D12" s="208"/>
      <c r="E12" s="216"/>
      <c r="F12" s="217"/>
      <c r="G12" s="216"/>
      <c r="H12" s="211"/>
      <c r="I12" s="212"/>
      <c r="J12" s="215"/>
      <c r="K12" s="218" t="str">
        <f>IF(F12="","",F12*'🏠 INICIO'!C8)</f>
        <v/>
      </c>
    </row>
    <row r="13" spans="1:11" ht="18" customHeight="1" x14ac:dyDescent="0.2">
      <c r="A13" s="206"/>
      <c r="B13" s="207">
        <v>9</v>
      </c>
      <c r="C13" s="208"/>
      <c r="D13" s="208"/>
      <c r="E13" s="209"/>
      <c r="F13" s="210"/>
      <c r="G13" s="209"/>
      <c r="H13" s="211"/>
      <c r="I13" s="212"/>
      <c r="J13" s="208"/>
      <c r="K13" s="213" t="str">
        <f>IF(F13="","",F13*'🏠 INICIO'!C8)</f>
        <v/>
      </c>
    </row>
    <row r="14" spans="1:11" ht="18" customHeight="1" x14ac:dyDescent="0.2">
      <c r="A14" s="206"/>
      <c r="B14" s="214">
        <v>10</v>
      </c>
      <c r="C14" s="208"/>
      <c r="D14" s="208"/>
      <c r="E14" s="209"/>
      <c r="F14" s="217"/>
      <c r="G14" s="216"/>
      <c r="H14" s="211"/>
      <c r="I14" s="212"/>
      <c r="J14" s="215"/>
      <c r="K14" s="218" t="str">
        <f>IF(F14="","",F14*'🏠 INICIO'!C8)</f>
        <v/>
      </c>
    </row>
    <row r="15" spans="1:11" ht="18" customHeight="1" x14ac:dyDescent="0.2">
      <c r="A15" s="206"/>
      <c r="B15" s="207">
        <v>11</v>
      </c>
      <c r="C15" s="208"/>
      <c r="D15" s="208"/>
      <c r="E15" s="209"/>
      <c r="F15" s="210"/>
      <c r="G15" s="209"/>
      <c r="H15" s="211"/>
      <c r="I15" s="212"/>
      <c r="J15" s="208"/>
      <c r="K15" s="213" t="str">
        <f>IF(F15="","",F15*'🏠 INICIO'!C8)</f>
        <v/>
      </c>
    </row>
    <row r="16" spans="1:11" ht="18" customHeight="1" x14ac:dyDescent="0.2">
      <c r="A16" s="206"/>
      <c r="B16" s="214">
        <v>12</v>
      </c>
      <c r="C16" s="208"/>
      <c r="D16" s="208"/>
      <c r="E16" s="209"/>
      <c r="F16" s="217"/>
      <c r="G16" s="216"/>
      <c r="H16" s="211"/>
      <c r="I16" s="212"/>
      <c r="J16" s="215"/>
      <c r="K16" s="218" t="str">
        <f>IF(F16="","",F16*'🏠 INICIO'!C8)</f>
        <v/>
      </c>
    </row>
    <row r="17" spans="1:11" ht="18" customHeight="1" x14ac:dyDescent="0.2">
      <c r="A17" s="206"/>
      <c r="B17" s="207">
        <v>13</v>
      </c>
      <c r="C17" s="208"/>
      <c r="D17" s="208"/>
      <c r="E17" s="209"/>
      <c r="F17" s="210"/>
      <c r="G17" s="209"/>
      <c r="H17" s="211"/>
      <c r="I17" s="212"/>
      <c r="J17" s="208"/>
      <c r="K17" s="213" t="str">
        <f>IF(F17="","",F17*'🏠 INICIO'!C8)</f>
        <v/>
      </c>
    </row>
    <row r="18" spans="1:11" ht="18" customHeight="1" x14ac:dyDescent="0.2">
      <c r="A18" s="206"/>
      <c r="B18" s="214">
        <v>14</v>
      </c>
      <c r="C18" s="208"/>
      <c r="D18" s="208"/>
      <c r="E18" s="209"/>
      <c r="F18" s="217"/>
      <c r="G18" s="216"/>
      <c r="H18" s="211"/>
      <c r="I18" s="212"/>
      <c r="J18" s="215"/>
      <c r="K18" s="218" t="str">
        <f>IF(F18="","",F18*'🏠 INICIO'!C8)</f>
        <v/>
      </c>
    </row>
    <row r="19" spans="1:11" ht="18" customHeight="1" x14ac:dyDescent="0.2">
      <c r="A19" s="206"/>
      <c r="B19" s="207">
        <v>15</v>
      </c>
      <c r="C19" s="208"/>
      <c r="D19" s="208"/>
      <c r="E19" s="209"/>
      <c r="F19" s="210"/>
      <c r="G19" s="209"/>
      <c r="H19" s="211"/>
      <c r="I19" s="212"/>
      <c r="J19" s="208"/>
      <c r="K19" s="213" t="str">
        <f>IF(F19="","",F19*'🏠 INICIO'!C8)</f>
        <v/>
      </c>
    </row>
    <row r="20" spans="1:11" ht="18" customHeight="1" x14ac:dyDescent="0.2">
      <c r="A20" s="206"/>
      <c r="B20" s="214">
        <v>16</v>
      </c>
      <c r="C20" s="208"/>
      <c r="D20" s="208"/>
      <c r="E20" s="209"/>
      <c r="F20" s="217"/>
      <c r="G20" s="216"/>
      <c r="H20" s="211"/>
      <c r="I20" s="212"/>
      <c r="J20" s="215"/>
      <c r="K20" s="218" t="str">
        <f>IF(F20="","",F20*'🏠 INICIO'!C8)</f>
        <v/>
      </c>
    </row>
    <row r="21" spans="1:11" ht="18" customHeight="1" x14ac:dyDescent="0.2">
      <c r="A21" s="206"/>
      <c r="B21" s="207">
        <v>17</v>
      </c>
      <c r="C21" s="208"/>
      <c r="D21" s="208"/>
      <c r="E21" s="209"/>
      <c r="F21" s="210"/>
      <c r="G21" s="209"/>
      <c r="H21" s="211"/>
      <c r="I21" s="212"/>
      <c r="J21" s="208"/>
      <c r="K21" s="213" t="str">
        <f>IF(F21="","",F21*'🏠 INICIO'!C8)</f>
        <v/>
      </c>
    </row>
    <row r="22" spans="1:11" ht="18" customHeight="1" x14ac:dyDescent="0.2">
      <c r="A22" s="206"/>
      <c r="B22" s="214">
        <v>18</v>
      </c>
      <c r="C22" s="208"/>
      <c r="D22" s="208"/>
      <c r="E22" s="209"/>
      <c r="F22" s="217"/>
      <c r="G22" s="216"/>
      <c r="H22" s="211"/>
      <c r="I22" s="212"/>
      <c r="J22" s="215"/>
      <c r="K22" s="218" t="str">
        <f>IF(F22="","",F22*'🏠 INICIO'!C8)</f>
        <v/>
      </c>
    </row>
    <row r="23" spans="1:11" ht="18" customHeight="1" x14ac:dyDescent="0.2">
      <c r="A23" s="206"/>
      <c r="B23" s="207">
        <v>19</v>
      </c>
      <c r="C23" s="208"/>
      <c r="D23" s="208"/>
      <c r="E23" s="209"/>
      <c r="F23" s="210"/>
      <c r="G23" s="209"/>
      <c r="H23" s="211"/>
      <c r="I23" s="212"/>
      <c r="J23" s="208"/>
      <c r="K23" s="213" t="str">
        <f>IF(F23="","",F23*'🏠 INICIO'!C8)</f>
        <v/>
      </c>
    </row>
    <row r="24" spans="1:11" ht="18" customHeight="1" x14ac:dyDescent="0.2">
      <c r="A24" s="206"/>
      <c r="B24" s="214">
        <v>20</v>
      </c>
      <c r="C24" s="215"/>
      <c r="D24" s="208"/>
      <c r="E24" s="209"/>
      <c r="F24" s="217"/>
      <c r="G24" s="216"/>
      <c r="H24" s="211"/>
      <c r="I24" s="212"/>
      <c r="J24" s="215"/>
      <c r="K24" s="218" t="str">
        <f>IF(F24="","",F24*'🏠 INICIO'!C8)</f>
        <v/>
      </c>
    </row>
    <row r="25" spans="1:11" ht="18" customHeight="1" x14ac:dyDescent="0.2">
      <c r="A25" s="206"/>
      <c r="B25" s="207">
        <v>21</v>
      </c>
      <c r="C25" s="208"/>
      <c r="D25" s="208"/>
      <c r="E25" s="209"/>
      <c r="F25" s="210"/>
      <c r="G25" s="209"/>
      <c r="H25" s="211"/>
      <c r="I25" s="212"/>
      <c r="J25" s="208"/>
      <c r="K25" s="213" t="str">
        <f>IF(F25="","",F25*'🏠 INICIO'!C8)</f>
        <v/>
      </c>
    </row>
    <row r="26" spans="1:11" ht="18" customHeight="1" x14ac:dyDescent="0.2">
      <c r="A26" s="206"/>
      <c r="B26" s="214">
        <v>22</v>
      </c>
      <c r="C26" s="215"/>
      <c r="D26" s="208"/>
      <c r="E26" s="209"/>
      <c r="F26" s="217"/>
      <c r="G26" s="216"/>
      <c r="H26" s="211"/>
      <c r="I26" s="212"/>
      <c r="J26" s="215"/>
      <c r="K26" s="218" t="str">
        <f>IF(F26="","",F26*'🏠 INICIO'!C8)</f>
        <v/>
      </c>
    </row>
    <row r="27" spans="1:11" ht="18" customHeight="1" x14ac:dyDescent="0.2">
      <c r="A27" s="206"/>
      <c r="B27" s="207">
        <v>23</v>
      </c>
      <c r="C27" s="208"/>
      <c r="D27" s="208"/>
      <c r="E27" s="209"/>
      <c r="F27" s="210"/>
      <c r="G27" s="209"/>
      <c r="H27" s="211"/>
      <c r="I27" s="212"/>
      <c r="J27" s="208"/>
      <c r="K27" s="213" t="str">
        <f>IF(F27="","",F27*'🏠 INICIO'!C8)</f>
        <v/>
      </c>
    </row>
    <row r="28" spans="1:11" ht="18" customHeight="1" x14ac:dyDescent="0.2">
      <c r="A28" s="206"/>
      <c r="B28" s="214">
        <v>24</v>
      </c>
      <c r="C28" s="215"/>
      <c r="D28" s="208"/>
      <c r="E28" s="209"/>
      <c r="F28" s="217"/>
      <c r="G28" s="216"/>
      <c r="H28" s="211"/>
      <c r="I28" s="212"/>
      <c r="J28" s="215"/>
      <c r="K28" s="218" t="str">
        <f>IF(F28="","",F28*'🏠 INICIO'!C8)</f>
        <v/>
      </c>
    </row>
    <row r="29" spans="1:11" ht="18" customHeight="1" x14ac:dyDescent="0.2">
      <c r="A29" s="206"/>
      <c r="B29" s="207">
        <v>25</v>
      </c>
      <c r="C29" s="208"/>
      <c r="D29" s="208"/>
      <c r="E29" s="209"/>
      <c r="F29" s="210"/>
      <c r="G29" s="209"/>
      <c r="H29" s="219"/>
      <c r="I29" s="212"/>
      <c r="J29" s="208"/>
      <c r="K29" s="213" t="str">
        <f>IF(F29="","",F29*'🏠 INICIO'!C8)</f>
        <v/>
      </c>
    </row>
    <row r="30" spans="1:11" ht="18" customHeight="1" x14ac:dyDescent="0.2">
      <c r="A30" s="206"/>
      <c r="B30" s="214">
        <v>26</v>
      </c>
      <c r="C30" s="215"/>
      <c r="D30" s="215"/>
      <c r="E30" s="216"/>
      <c r="F30" s="217"/>
      <c r="G30" s="216"/>
      <c r="H30" s="216"/>
      <c r="I30" s="212"/>
      <c r="J30" s="215"/>
      <c r="K30" s="218" t="str">
        <f>IF(F30="","",F30*'🏠 INICIO'!C8)</f>
        <v/>
      </c>
    </row>
    <row r="31" spans="1:11" ht="18" customHeight="1" x14ac:dyDescent="0.2">
      <c r="A31" s="206"/>
      <c r="B31" s="207">
        <v>27</v>
      </c>
      <c r="C31" s="208"/>
      <c r="D31" s="208"/>
      <c r="E31" s="209"/>
      <c r="F31" s="210"/>
      <c r="G31" s="209"/>
      <c r="H31" s="209"/>
      <c r="I31" s="212"/>
      <c r="J31" s="208"/>
      <c r="K31" s="213" t="str">
        <f>IF(F31="","",F31*'🏠 INICIO'!C8)</f>
        <v/>
      </c>
    </row>
    <row r="32" spans="1:11" ht="18" customHeight="1" x14ac:dyDescent="0.2">
      <c r="A32" s="206"/>
      <c r="B32" s="214">
        <v>28</v>
      </c>
      <c r="C32" s="215"/>
      <c r="D32" s="215"/>
      <c r="E32" s="216"/>
      <c r="F32" s="217"/>
      <c r="G32" s="216"/>
      <c r="H32" s="216"/>
      <c r="I32" s="212"/>
      <c r="J32" s="215"/>
      <c r="K32" s="218" t="str">
        <f>IF(F32="","",F32*'🏠 INICIO'!C8)</f>
        <v/>
      </c>
    </row>
    <row r="33" spans="1:11" ht="18" customHeight="1" x14ac:dyDescent="0.2">
      <c r="A33" s="206"/>
      <c r="B33" s="207">
        <v>29</v>
      </c>
      <c r="C33" s="208"/>
      <c r="D33" s="208"/>
      <c r="E33" s="209"/>
      <c r="F33" s="210"/>
      <c r="G33" s="209"/>
      <c r="H33" s="209"/>
      <c r="I33" s="212"/>
      <c r="J33" s="208"/>
      <c r="K33" s="213" t="str">
        <f>IF(F33="","",F33*'🏠 INICIO'!C8)</f>
        <v/>
      </c>
    </row>
    <row r="34" spans="1:11" ht="18" customHeight="1" x14ac:dyDescent="0.2">
      <c r="A34" s="206"/>
      <c r="B34" s="214">
        <v>30</v>
      </c>
      <c r="C34" s="215"/>
      <c r="D34" s="215"/>
      <c r="E34" s="216"/>
      <c r="F34" s="217"/>
      <c r="G34" s="216"/>
      <c r="H34" s="216"/>
      <c r="I34" s="212"/>
      <c r="J34" s="215"/>
      <c r="K34" s="218" t="str">
        <f>IF(F34="","",F34*'🏠 INICIO'!C8)</f>
        <v/>
      </c>
    </row>
    <row r="35" spans="1:11" ht="18" customHeight="1" x14ac:dyDescent="0.2">
      <c r="A35" s="206"/>
      <c r="B35" s="207">
        <v>31</v>
      </c>
      <c r="C35" s="208"/>
      <c r="D35" s="208"/>
      <c r="E35" s="209"/>
      <c r="F35" s="210"/>
      <c r="G35" s="209"/>
      <c r="H35" s="209"/>
      <c r="I35" s="212"/>
      <c r="J35" s="208"/>
      <c r="K35" s="213" t="str">
        <f>IF(F35="","",F35*'🏠 INICIO'!C8)</f>
        <v/>
      </c>
    </row>
    <row r="36" spans="1:11" ht="18" customHeight="1" x14ac:dyDescent="0.2">
      <c r="A36" s="206"/>
      <c r="B36" s="214">
        <v>32</v>
      </c>
      <c r="C36" s="215"/>
      <c r="D36" s="215"/>
      <c r="E36" s="216"/>
      <c r="F36" s="217"/>
      <c r="G36" s="216"/>
      <c r="H36" s="216"/>
      <c r="I36" s="212"/>
      <c r="J36" s="215"/>
      <c r="K36" s="218" t="str">
        <f>IF(F36="","",F36*'🏠 INICIO'!C8)</f>
        <v/>
      </c>
    </row>
    <row r="37" spans="1:11" ht="18" customHeight="1" x14ac:dyDescent="0.2">
      <c r="A37" s="206"/>
      <c r="B37" s="207">
        <v>33</v>
      </c>
      <c r="C37" s="208"/>
      <c r="D37" s="208"/>
      <c r="E37" s="209"/>
      <c r="F37" s="210"/>
      <c r="G37" s="209"/>
      <c r="H37" s="209"/>
      <c r="I37" s="212"/>
      <c r="J37" s="208"/>
      <c r="K37" s="213" t="str">
        <f>IF(F37="","",F37*'🏠 INICIO'!C8)</f>
        <v/>
      </c>
    </row>
    <row r="38" spans="1:11" ht="18" customHeight="1" x14ac:dyDescent="0.2">
      <c r="A38" s="206"/>
      <c r="B38" s="214">
        <v>34</v>
      </c>
      <c r="C38" s="215"/>
      <c r="D38" s="215"/>
      <c r="E38" s="216"/>
      <c r="F38" s="217"/>
      <c r="G38" s="216"/>
      <c r="H38" s="216"/>
      <c r="I38" s="212"/>
      <c r="J38" s="215"/>
      <c r="K38" s="218" t="str">
        <f>IF(F38="","",F38*'🏠 INICIO'!C8)</f>
        <v/>
      </c>
    </row>
    <row r="39" spans="1:11" ht="18" customHeight="1" x14ac:dyDescent="0.2">
      <c r="A39" s="206"/>
      <c r="B39" s="207">
        <v>35</v>
      </c>
      <c r="C39" s="208"/>
      <c r="D39" s="208"/>
      <c r="E39" s="209"/>
      <c r="F39" s="210"/>
      <c r="G39" s="209"/>
      <c r="H39" s="209"/>
      <c r="I39" s="212"/>
      <c r="J39" s="208"/>
      <c r="K39" s="213" t="str">
        <f>IF(F39="","",F39*'🏠 INICIO'!C8)</f>
        <v/>
      </c>
    </row>
    <row r="40" spans="1:11" ht="18" customHeight="1" x14ac:dyDescent="0.2">
      <c r="A40" s="206"/>
      <c r="B40" s="214">
        <v>36</v>
      </c>
      <c r="C40" s="215"/>
      <c r="D40" s="215"/>
      <c r="E40" s="216"/>
      <c r="F40" s="217"/>
      <c r="G40" s="216"/>
      <c r="H40" s="216"/>
      <c r="I40" s="212"/>
      <c r="J40" s="215"/>
      <c r="K40" s="218" t="str">
        <f>IF(F40="","",F40*'🏠 INICIO'!C8)</f>
        <v/>
      </c>
    </row>
    <row r="41" spans="1:11" ht="18" customHeight="1" x14ac:dyDescent="0.2">
      <c r="A41" s="206"/>
      <c r="B41" s="207">
        <v>37</v>
      </c>
      <c r="C41" s="208"/>
      <c r="D41" s="208"/>
      <c r="E41" s="209"/>
      <c r="F41" s="210"/>
      <c r="G41" s="209"/>
      <c r="H41" s="209"/>
      <c r="I41" s="212"/>
      <c r="J41" s="208"/>
      <c r="K41" s="213" t="str">
        <f>IF(F41="","",F41*'🏠 INICIO'!C8)</f>
        <v/>
      </c>
    </row>
    <row r="42" spans="1:11" ht="18" customHeight="1" x14ac:dyDescent="0.2">
      <c r="A42" s="206"/>
      <c r="B42" s="214">
        <v>38</v>
      </c>
      <c r="C42" s="215"/>
      <c r="D42" s="215"/>
      <c r="E42" s="216"/>
      <c r="F42" s="217"/>
      <c r="G42" s="216"/>
      <c r="H42" s="216"/>
      <c r="I42" s="212"/>
      <c r="J42" s="215"/>
      <c r="K42" s="218" t="str">
        <f>IF(F42="","",F42*'🏠 INICIO'!C8)</f>
        <v/>
      </c>
    </row>
    <row r="43" spans="1:11" ht="18" customHeight="1" x14ac:dyDescent="0.2">
      <c r="A43" s="206"/>
      <c r="B43" s="207">
        <v>39</v>
      </c>
      <c r="C43" s="208"/>
      <c r="D43" s="208"/>
      <c r="E43" s="209"/>
      <c r="F43" s="210"/>
      <c r="G43" s="209"/>
      <c r="H43" s="209"/>
      <c r="I43" s="212"/>
      <c r="J43" s="208"/>
      <c r="K43" s="213" t="str">
        <f>IF(F43="","",F43*'🏠 INICIO'!C8)</f>
        <v/>
      </c>
    </row>
    <row r="44" spans="1:11" ht="18" customHeight="1" x14ac:dyDescent="0.2">
      <c r="A44" s="206"/>
      <c r="B44" s="214">
        <v>40</v>
      </c>
      <c r="C44" s="215"/>
      <c r="D44" s="215"/>
      <c r="E44" s="216"/>
      <c r="F44" s="217"/>
      <c r="G44" s="216"/>
      <c r="H44" s="216"/>
      <c r="I44" s="212"/>
      <c r="J44" s="215"/>
      <c r="K44" s="218" t="str">
        <f>IF(F44="","",F44*'🏠 INICIO'!C8)</f>
        <v/>
      </c>
    </row>
    <row r="45" spans="1:11" ht="18" customHeight="1" x14ac:dyDescent="0.2">
      <c r="A45" s="206"/>
      <c r="B45" s="207">
        <v>41</v>
      </c>
      <c r="C45" s="208"/>
      <c r="D45" s="208"/>
      <c r="E45" s="209"/>
      <c r="F45" s="210"/>
      <c r="G45" s="209"/>
      <c r="H45" s="209"/>
      <c r="I45" s="212"/>
      <c r="J45" s="208"/>
      <c r="K45" s="213" t="str">
        <f>IF(F45="","",F45*'🏠 INICIO'!C8)</f>
        <v/>
      </c>
    </row>
    <row r="46" spans="1:11" ht="18" customHeight="1" x14ac:dyDescent="0.2">
      <c r="A46" s="206"/>
      <c r="B46" s="214">
        <v>42</v>
      </c>
      <c r="C46" s="215"/>
      <c r="D46" s="215"/>
      <c r="E46" s="216"/>
      <c r="F46" s="217"/>
      <c r="G46" s="216"/>
      <c r="H46" s="216"/>
      <c r="I46" s="212"/>
      <c r="J46" s="215"/>
      <c r="K46" s="218" t="str">
        <f>IF(F46="","",F46*'🏠 INICIO'!C8)</f>
        <v/>
      </c>
    </row>
    <row r="47" spans="1:11" ht="18" customHeight="1" x14ac:dyDescent="0.2">
      <c r="A47" s="206"/>
      <c r="B47" s="207">
        <v>43</v>
      </c>
      <c r="C47" s="208"/>
      <c r="D47" s="208"/>
      <c r="E47" s="209"/>
      <c r="F47" s="210"/>
      <c r="G47" s="209"/>
      <c r="H47" s="209"/>
      <c r="I47" s="212"/>
      <c r="J47" s="208"/>
      <c r="K47" s="213" t="str">
        <f>IF(F47="","",F47*'🏠 INICIO'!C8)</f>
        <v/>
      </c>
    </row>
    <row r="48" spans="1:11" ht="18" customHeight="1" x14ac:dyDescent="0.2">
      <c r="A48" s="206"/>
      <c r="B48" s="214">
        <v>44</v>
      </c>
      <c r="C48" s="215"/>
      <c r="D48" s="215"/>
      <c r="E48" s="216"/>
      <c r="F48" s="217"/>
      <c r="G48" s="216"/>
      <c r="H48" s="216"/>
      <c r="I48" s="212"/>
      <c r="J48" s="215"/>
      <c r="K48" s="218" t="str">
        <f>IF(F48="","",F48*'🏠 INICIO'!C8)</f>
        <v/>
      </c>
    </row>
    <row r="49" spans="1:11" ht="18" customHeight="1" x14ac:dyDescent="0.2">
      <c r="A49" s="206"/>
      <c r="B49" s="207">
        <v>45</v>
      </c>
      <c r="C49" s="208"/>
      <c r="D49" s="208"/>
      <c r="E49" s="209"/>
      <c r="F49" s="210"/>
      <c r="G49" s="209"/>
      <c r="H49" s="209"/>
      <c r="I49" s="212"/>
      <c r="J49" s="208"/>
      <c r="K49" s="213" t="str">
        <f>IF(F49="","",F49*'🏠 INICIO'!C8)</f>
        <v/>
      </c>
    </row>
    <row r="50" spans="1:11" ht="18" customHeight="1" x14ac:dyDescent="0.2">
      <c r="A50" s="206"/>
      <c r="B50" s="214">
        <v>46</v>
      </c>
      <c r="C50" s="215"/>
      <c r="D50" s="215"/>
      <c r="E50" s="216"/>
      <c r="F50" s="217"/>
      <c r="G50" s="216"/>
      <c r="H50" s="216"/>
      <c r="I50" s="212"/>
      <c r="J50" s="215"/>
      <c r="K50" s="218" t="str">
        <f>IF(F50="","",F50*'🏠 INICIO'!C8)</f>
        <v/>
      </c>
    </row>
    <row r="51" spans="1:11" ht="18" customHeight="1" x14ac:dyDescent="0.2">
      <c r="A51" s="206"/>
      <c r="B51" s="207">
        <v>47</v>
      </c>
      <c r="C51" s="208"/>
      <c r="D51" s="208"/>
      <c r="E51" s="209"/>
      <c r="F51" s="210"/>
      <c r="G51" s="209"/>
      <c r="H51" s="209"/>
      <c r="I51" s="212"/>
      <c r="J51" s="208"/>
      <c r="K51" s="213" t="str">
        <f>IF(F51="","",F51*'🏠 INICIO'!C8)</f>
        <v/>
      </c>
    </row>
    <row r="52" spans="1:11" ht="18" customHeight="1" x14ac:dyDescent="0.2">
      <c r="A52" s="206"/>
      <c r="B52" s="214">
        <v>48</v>
      </c>
      <c r="C52" s="215"/>
      <c r="D52" s="215"/>
      <c r="E52" s="216"/>
      <c r="F52" s="217"/>
      <c r="G52" s="216"/>
      <c r="H52" s="216"/>
      <c r="I52" s="212"/>
      <c r="J52" s="215"/>
      <c r="K52" s="218" t="str">
        <f>IF(F52="","",F52*'🏠 INICIO'!C8)</f>
        <v/>
      </c>
    </row>
    <row r="53" spans="1:11" ht="18" customHeight="1" x14ac:dyDescent="0.2">
      <c r="A53" s="206"/>
      <c r="B53" s="207">
        <v>49</v>
      </c>
      <c r="C53" s="208"/>
      <c r="D53" s="208"/>
      <c r="E53" s="209"/>
      <c r="F53" s="210"/>
      <c r="G53" s="209"/>
      <c r="H53" s="209"/>
      <c r="I53" s="212"/>
      <c r="J53" s="208"/>
      <c r="K53" s="213" t="str">
        <f>IF(F53="","",F53*'🏠 INICIO'!C8)</f>
        <v/>
      </c>
    </row>
    <row r="54" spans="1:11" ht="18" customHeight="1" x14ac:dyDescent="0.2">
      <c r="A54" s="206"/>
      <c r="B54" s="214">
        <v>50</v>
      </c>
      <c r="C54" s="215"/>
      <c r="D54" s="215"/>
      <c r="E54" s="216"/>
      <c r="F54" s="217"/>
      <c r="G54" s="216"/>
      <c r="H54" s="216"/>
      <c r="I54" s="212"/>
      <c r="J54" s="215"/>
      <c r="K54" s="218" t="str">
        <f>IF(F54="","",F54*'🏠 INICIO'!C8)</f>
        <v/>
      </c>
    </row>
    <row r="55" spans="1:11" ht="18" customHeight="1" x14ac:dyDescent="0.2">
      <c r="A55" s="206"/>
      <c r="B55" s="207">
        <v>51</v>
      </c>
      <c r="C55" s="208"/>
      <c r="D55" s="208"/>
      <c r="E55" s="209"/>
      <c r="F55" s="210"/>
      <c r="G55" s="209"/>
      <c r="H55" s="209"/>
      <c r="I55" s="212"/>
      <c r="J55" s="208"/>
      <c r="K55" s="213" t="str">
        <f>IF(F55="","",F55*'🏠 INICIO'!C8)</f>
        <v/>
      </c>
    </row>
    <row r="56" spans="1:11" ht="18" customHeight="1" x14ac:dyDescent="0.2">
      <c r="A56" s="206"/>
      <c r="B56" s="214">
        <v>52</v>
      </c>
      <c r="C56" s="215"/>
      <c r="D56" s="215"/>
      <c r="E56" s="216"/>
      <c r="F56" s="217"/>
      <c r="G56" s="216"/>
      <c r="H56" s="216"/>
      <c r="I56" s="212"/>
      <c r="J56" s="215"/>
      <c r="K56" s="218" t="str">
        <f>IF(F56="","",F56*'🏠 INICIO'!C8)</f>
        <v/>
      </c>
    </row>
    <row r="57" spans="1:11" ht="18" customHeight="1" x14ac:dyDescent="0.2">
      <c r="A57" s="206"/>
      <c r="B57" s="207">
        <v>53</v>
      </c>
      <c r="C57" s="208"/>
      <c r="D57" s="208"/>
      <c r="E57" s="209"/>
      <c r="F57" s="210"/>
      <c r="G57" s="209"/>
      <c r="H57" s="209"/>
      <c r="I57" s="212"/>
      <c r="J57" s="208"/>
      <c r="K57" s="213" t="str">
        <f>IF(F57="","",F57*'🏠 INICIO'!C8)</f>
        <v/>
      </c>
    </row>
    <row r="58" spans="1:11" ht="18" customHeight="1" x14ac:dyDescent="0.2">
      <c r="A58" s="206"/>
      <c r="B58" s="214">
        <v>54</v>
      </c>
      <c r="C58" s="215"/>
      <c r="D58" s="215"/>
      <c r="E58" s="216"/>
      <c r="F58" s="217"/>
      <c r="G58" s="216"/>
      <c r="H58" s="216"/>
      <c r="I58" s="212"/>
      <c r="J58" s="215"/>
      <c r="K58" s="218" t="str">
        <f>IF(F58="","",F58*'🏠 INICIO'!C8)</f>
        <v/>
      </c>
    </row>
    <row r="59" spans="1:11" ht="18" customHeight="1" x14ac:dyDescent="0.2">
      <c r="A59" s="206"/>
      <c r="B59" s="207">
        <v>55</v>
      </c>
      <c r="C59" s="208"/>
      <c r="D59" s="208"/>
      <c r="E59" s="209"/>
      <c r="F59" s="210"/>
      <c r="G59" s="209"/>
      <c r="H59" s="209"/>
      <c r="I59" s="212"/>
      <c r="J59" s="208"/>
      <c r="K59" s="213" t="str">
        <f>IF(F59="","",F59*'🏠 INICIO'!C8)</f>
        <v/>
      </c>
    </row>
    <row r="60" spans="1:11" ht="18" customHeight="1" x14ac:dyDescent="0.2">
      <c r="A60" s="206"/>
      <c r="B60" s="214">
        <v>56</v>
      </c>
      <c r="C60" s="215"/>
      <c r="D60" s="215"/>
      <c r="E60" s="216"/>
      <c r="F60" s="217"/>
      <c r="G60" s="216"/>
      <c r="H60" s="216"/>
      <c r="I60" s="212"/>
      <c r="J60" s="215"/>
      <c r="K60" s="218" t="str">
        <f>IF(F60="","",F60*'🏠 INICIO'!C8)</f>
        <v/>
      </c>
    </row>
    <row r="61" spans="1:11" ht="18" customHeight="1" x14ac:dyDescent="0.2">
      <c r="A61" s="206"/>
      <c r="B61" s="207">
        <v>57</v>
      </c>
      <c r="C61" s="208"/>
      <c r="D61" s="208"/>
      <c r="E61" s="209"/>
      <c r="F61" s="210"/>
      <c r="G61" s="209"/>
      <c r="H61" s="209"/>
      <c r="I61" s="212"/>
      <c r="J61" s="208"/>
      <c r="K61" s="213" t="str">
        <f>IF(F61="","",F61*'🏠 INICIO'!C8)</f>
        <v/>
      </c>
    </row>
    <row r="62" spans="1:11" ht="18" customHeight="1" x14ac:dyDescent="0.2">
      <c r="A62" s="206"/>
      <c r="B62" s="214">
        <v>58</v>
      </c>
      <c r="C62" s="215"/>
      <c r="D62" s="215"/>
      <c r="E62" s="216"/>
      <c r="F62" s="217"/>
      <c r="G62" s="216"/>
      <c r="H62" s="216"/>
      <c r="I62" s="212"/>
      <c r="J62" s="215"/>
      <c r="K62" s="218" t="str">
        <f>IF(F62="","",F62*'🏠 INICIO'!C8)</f>
        <v/>
      </c>
    </row>
    <row r="63" spans="1:11" ht="18" customHeight="1" x14ac:dyDescent="0.2">
      <c r="A63" s="206"/>
      <c r="B63" s="207">
        <v>59</v>
      </c>
      <c r="C63" s="208"/>
      <c r="D63" s="208"/>
      <c r="E63" s="209"/>
      <c r="F63" s="210"/>
      <c r="G63" s="209"/>
      <c r="H63" s="209"/>
      <c r="I63" s="212"/>
      <c r="J63" s="208"/>
      <c r="K63" s="213" t="str">
        <f>IF(F63="","",F63*'🏠 INICIO'!C8)</f>
        <v/>
      </c>
    </row>
    <row r="64" spans="1:11" ht="18" customHeight="1" x14ac:dyDescent="0.2">
      <c r="A64" s="206"/>
      <c r="B64" s="214">
        <v>60</v>
      </c>
      <c r="C64" s="215"/>
      <c r="D64" s="215"/>
      <c r="E64" s="216"/>
      <c r="F64" s="217"/>
      <c r="G64" s="216"/>
      <c r="H64" s="216"/>
      <c r="I64" s="212"/>
      <c r="J64" s="215"/>
      <c r="K64" s="218" t="str">
        <f>IF(F64="","",F64*'🏠 INICIO'!C8)</f>
        <v/>
      </c>
    </row>
    <row r="65" spans="1:11" ht="18" customHeight="1" x14ac:dyDescent="0.2">
      <c r="A65" s="206"/>
      <c r="B65" s="207">
        <v>61</v>
      </c>
      <c r="C65" s="208"/>
      <c r="D65" s="208"/>
      <c r="E65" s="209"/>
      <c r="F65" s="210"/>
      <c r="G65" s="209"/>
      <c r="H65" s="209"/>
      <c r="I65" s="212"/>
      <c r="J65" s="208"/>
      <c r="K65" s="213" t="str">
        <f>IF(F65="","",F65*'🏠 INICIO'!C8)</f>
        <v/>
      </c>
    </row>
    <row r="66" spans="1:11" ht="18" customHeight="1" x14ac:dyDescent="0.2">
      <c r="A66" s="206"/>
      <c r="B66" s="214">
        <v>62</v>
      </c>
      <c r="C66" s="215"/>
      <c r="D66" s="215"/>
      <c r="E66" s="216"/>
      <c r="F66" s="217"/>
      <c r="G66" s="216"/>
      <c r="H66" s="216"/>
      <c r="I66" s="212"/>
      <c r="J66" s="215"/>
      <c r="K66" s="218" t="str">
        <f>IF(F66="","",F66*'🏠 INICIO'!C8)</f>
        <v/>
      </c>
    </row>
    <row r="67" spans="1:11" ht="18" customHeight="1" x14ac:dyDescent="0.2">
      <c r="A67" s="206"/>
      <c r="B67" s="207">
        <v>63</v>
      </c>
      <c r="C67" s="208"/>
      <c r="D67" s="208"/>
      <c r="E67" s="209"/>
      <c r="F67" s="210"/>
      <c r="G67" s="209"/>
      <c r="H67" s="209"/>
      <c r="I67" s="212"/>
      <c r="J67" s="208"/>
      <c r="K67" s="213" t="str">
        <f>IF(F67="","",F67*'🏠 INICIO'!C8)</f>
        <v/>
      </c>
    </row>
    <row r="68" spans="1:11" ht="18" customHeight="1" x14ac:dyDescent="0.2">
      <c r="A68" s="206"/>
      <c r="B68" s="214">
        <v>64</v>
      </c>
      <c r="C68" s="215"/>
      <c r="D68" s="215"/>
      <c r="E68" s="216"/>
      <c r="F68" s="217"/>
      <c r="G68" s="216"/>
      <c r="H68" s="216"/>
      <c r="I68" s="212"/>
      <c r="J68" s="215"/>
      <c r="K68" s="218" t="str">
        <f>IF(F68="","",F68*'🏠 INICIO'!C8)</f>
        <v/>
      </c>
    </row>
    <row r="69" spans="1:11" ht="18" customHeight="1" x14ac:dyDescent="0.2">
      <c r="A69" s="206"/>
      <c r="B69" s="207">
        <v>65</v>
      </c>
      <c r="C69" s="208"/>
      <c r="D69" s="208"/>
      <c r="E69" s="209"/>
      <c r="F69" s="210"/>
      <c r="G69" s="209"/>
      <c r="H69" s="209"/>
      <c r="I69" s="212"/>
      <c r="J69" s="208"/>
      <c r="K69" s="213" t="str">
        <f>IF(F69="","",F69*'🏠 INICIO'!C8)</f>
        <v/>
      </c>
    </row>
    <row r="70" spans="1:11" ht="18" customHeight="1" x14ac:dyDescent="0.2">
      <c r="A70" s="206"/>
      <c r="B70" s="214">
        <v>66</v>
      </c>
      <c r="C70" s="215"/>
      <c r="D70" s="215"/>
      <c r="E70" s="216"/>
      <c r="F70" s="217"/>
      <c r="G70" s="216"/>
      <c r="H70" s="216"/>
      <c r="I70" s="212"/>
      <c r="J70" s="215"/>
      <c r="K70" s="218" t="str">
        <f>IF(F70="","",F70*'🏠 INICIO'!C8)</f>
        <v/>
      </c>
    </row>
    <row r="71" spans="1:11" ht="18" customHeight="1" x14ac:dyDescent="0.2">
      <c r="A71" s="206"/>
      <c r="B71" s="207">
        <v>67</v>
      </c>
      <c r="C71" s="208"/>
      <c r="D71" s="208"/>
      <c r="E71" s="209"/>
      <c r="F71" s="210"/>
      <c r="G71" s="209"/>
      <c r="H71" s="209"/>
      <c r="I71" s="212"/>
      <c r="J71" s="208"/>
      <c r="K71" s="213" t="str">
        <f>IF(F71="","",F71*'🏠 INICIO'!C8)</f>
        <v/>
      </c>
    </row>
    <row r="72" spans="1:11" ht="18" customHeight="1" x14ac:dyDescent="0.2">
      <c r="A72" s="206"/>
      <c r="B72" s="214">
        <v>68</v>
      </c>
      <c r="C72" s="215"/>
      <c r="D72" s="215"/>
      <c r="E72" s="216"/>
      <c r="F72" s="217"/>
      <c r="G72" s="216"/>
      <c r="H72" s="216"/>
      <c r="I72" s="212"/>
      <c r="J72" s="215"/>
      <c r="K72" s="218" t="str">
        <f>IF(F72="","",F72*'🏠 INICIO'!C8)</f>
        <v/>
      </c>
    </row>
    <row r="73" spans="1:11" ht="18" customHeight="1" x14ac:dyDescent="0.2">
      <c r="A73" s="206"/>
      <c r="B73" s="207">
        <v>69</v>
      </c>
      <c r="C73" s="208"/>
      <c r="D73" s="208"/>
      <c r="E73" s="209"/>
      <c r="F73" s="210"/>
      <c r="G73" s="209"/>
      <c r="H73" s="209"/>
      <c r="I73" s="212"/>
      <c r="J73" s="208"/>
      <c r="K73" s="213" t="str">
        <f>IF(F73="","",F73*'🏠 INICIO'!C8)</f>
        <v/>
      </c>
    </row>
    <row r="74" spans="1:11" ht="18" customHeight="1" x14ac:dyDescent="0.2">
      <c r="A74" s="206"/>
      <c r="B74" s="214">
        <v>70</v>
      </c>
      <c r="C74" s="215"/>
      <c r="D74" s="215"/>
      <c r="E74" s="216"/>
      <c r="F74" s="217"/>
      <c r="G74" s="216"/>
      <c r="H74" s="216"/>
      <c r="I74" s="212"/>
      <c r="J74" s="215"/>
      <c r="K74" s="218" t="str">
        <f>IF(F74="","",F74*'🏠 INICIO'!C8)</f>
        <v/>
      </c>
    </row>
    <row r="75" spans="1:11" ht="18" customHeight="1" x14ac:dyDescent="0.2">
      <c r="A75" s="206"/>
      <c r="B75" s="207">
        <v>71</v>
      </c>
      <c r="C75" s="208"/>
      <c r="D75" s="208"/>
      <c r="E75" s="209"/>
      <c r="F75" s="210"/>
      <c r="G75" s="209"/>
      <c r="H75" s="209"/>
      <c r="I75" s="212"/>
      <c r="J75" s="208"/>
      <c r="K75" s="213" t="str">
        <f>IF(F75="","",F75*'🏠 INICIO'!C8)</f>
        <v/>
      </c>
    </row>
    <row r="76" spans="1:11" ht="18" customHeight="1" x14ac:dyDescent="0.2">
      <c r="A76" s="206"/>
      <c r="B76" s="214">
        <v>72</v>
      </c>
      <c r="C76" s="215"/>
      <c r="D76" s="215"/>
      <c r="E76" s="216"/>
      <c r="F76" s="217"/>
      <c r="G76" s="216"/>
      <c r="H76" s="216"/>
      <c r="I76" s="212"/>
      <c r="J76" s="215"/>
      <c r="K76" s="218" t="str">
        <f>IF(F76="","",F76*'🏠 INICIO'!C8)</f>
        <v/>
      </c>
    </row>
    <row r="77" spans="1:11" ht="18" customHeight="1" x14ac:dyDescent="0.2">
      <c r="A77" s="206"/>
      <c r="B77" s="207">
        <v>73</v>
      </c>
      <c r="C77" s="208"/>
      <c r="D77" s="208"/>
      <c r="E77" s="209"/>
      <c r="F77" s="210"/>
      <c r="G77" s="209"/>
      <c r="H77" s="209"/>
      <c r="I77" s="212"/>
      <c r="J77" s="208"/>
      <c r="K77" s="213" t="str">
        <f>IF(F77="","",F77*'🏠 INICIO'!C8)</f>
        <v/>
      </c>
    </row>
    <row r="78" spans="1:11" ht="18" customHeight="1" x14ac:dyDescent="0.2">
      <c r="A78" s="206"/>
      <c r="B78" s="214">
        <v>74</v>
      </c>
      <c r="C78" s="215"/>
      <c r="D78" s="215"/>
      <c r="E78" s="216"/>
      <c r="F78" s="217"/>
      <c r="G78" s="216"/>
      <c r="H78" s="216"/>
      <c r="I78" s="212"/>
      <c r="J78" s="215"/>
      <c r="K78" s="218" t="str">
        <f>IF(F78="","",F78*'🏠 INICIO'!C8)</f>
        <v/>
      </c>
    </row>
    <row r="79" spans="1:11" ht="18" customHeight="1" x14ac:dyDescent="0.2">
      <c r="A79" s="206"/>
      <c r="B79" s="207">
        <v>75</v>
      </c>
      <c r="C79" s="208"/>
      <c r="D79" s="208"/>
      <c r="E79" s="209"/>
      <c r="F79" s="210"/>
      <c r="G79" s="209"/>
      <c r="H79" s="209"/>
      <c r="I79" s="212"/>
      <c r="J79" s="208"/>
      <c r="K79" s="213" t="str">
        <f>IF(F79="","",F79*'🏠 INICIO'!C8)</f>
        <v/>
      </c>
    </row>
    <row r="80" spans="1:11" ht="18" customHeight="1" x14ac:dyDescent="0.2">
      <c r="A80" s="206"/>
      <c r="B80" s="214">
        <v>76</v>
      </c>
      <c r="C80" s="215"/>
      <c r="D80" s="215"/>
      <c r="E80" s="216"/>
      <c r="F80" s="217"/>
      <c r="G80" s="216"/>
      <c r="H80" s="216"/>
      <c r="I80" s="212"/>
      <c r="J80" s="215"/>
      <c r="K80" s="218" t="str">
        <f>IF(F80="","",F80*'🏠 INICIO'!C8)</f>
        <v/>
      </c>
    </row>
    <row r="81" spans="1:11" ht="18" customHeight="1" x14ac:dyDescent="0.2">
      <c r="A81" s="206"/>
      <c r="B81" s="207">
        <v>77</v>
      </c>
      <c r="C81" s="208"/>
      <c r="D81" s="208"/>
      <c r="E81" s="209"/>
      <c r="F81" s="210"/>
      <c r="G81" s="209"/>
      <c r="H81" s="209"/>
      <c r="I81" s="212"/>
      <c r="J81" s="208"/>
      <c r="K81" s="213" t="str">
        <f>IF(F81="","",F81*'🏠 INICIO'!C8)</f>
        <v/>
      </c>
    </row>
    <row r="82" spans="1:11" ht="18" customHeight="1" x14ac:dyDescent="0.2">
      <c r="A82" s="206"/>
      <c r="B82" s="214">
        <v>78</v>
      </c>
      <c r="C82" s="215"/>
      <c r="D82" s="215"/>
      <c r="E82" s="216"/>
      <c r="F82" s="217"/>
      <c r="G82" s="216"/>
      <c r="H82" s="216"/>
      <c r="I82" s="212"/>
      <c r="J82" s="215"/>
      <c r="K82" s="218" t="str">
        <f>IF(F82="","",F82*'🏠 INICIO'!C8)</f>
        <v/>
      </c>
    </row>
    <row r="83" spans="1:11" ht="18" customHeight="1" x14ac:dyDescent="0.2">
      <c r="A83" s="206"/>
      <c r="B83" s="207">
        <v>79</v>
      </c>
      <c r="C83" s="208"/>
      <c r="D83" s="208"/>
      <c r="E83" s="209"/>
      <c r="F83" s="210"/>
      <c r="G83" s="209"/>
      <c r="H83" s="209"/>
      <c r="I83" s="212"/>
      <c r="J83" s="208"/>
      <c r="K83" s="213" t="str">
        <f>IF(F83="","",F83*'🏠 INICIO'!C8)</f>
        <v/>
      </c>
    </row>
    <row r="84" spans="1:11" ht="18" customHeight="1" x14ac:dyDescent="0.2">
      <c r="A84" s="206"/>
      <c r="B84" s="214">
        <v>80</v>
      </c>
      <c r="C84" s="215"/>
      <c r="D84" s="215"/>
      <c r="E84" s="216"/>
      <c r="F84" s="217"/>
      <c r="G84" s="216"/>
      <c r="H84" s="216"/>
      <c r="I84" s="212"/>
      <c r="J84" s="215"/>
      <c r="K84" s="218" t="str">
        <f>IF(F84="","",F84*'🏠 INICIO'!C8)</f>
        <v/>
      </c>
    </row>
    <row r="85" spans="1:11" ht="18" customHeight="1" x14ac:dyDescent="0.2">
      <c r="A85" s="206"/>
      <c r="B85" s="207">
        <v>81</v>
      </c>
      <c r="C85" s="208"/>
      <c r="D85" s="208"/>
      <c r="E85" s="209"/>
      <c r="F85" s="210"/>
      <c r="G85" s="209"/>
      <c r="H85" s="209"/>
      <c r="I85" s="212"/>
      <c r="J85" s="208"/>
      <c r="K85" s="213" t="str">
        <f>IF(F85="","",F85*'🏠 INICIO'!C8)</f>
        <v/>
      </c>
    </row>
    <row r="86" spans="1:11" ht="18" customHeight="1" x14ac:dyDescent="0.2">
      <c r="A86" s="206"/>
      <c r="B86" s="214">
        <v>82</v>
      </c>
      <c r="C86" s="215"/>
      <c r="D86" s="215"/>
      <c r="E86" s="216"/>
      <c r="F86" s="217"/>
      <c r="G86" s="216"/>
      <c r="H86" s="216"/>
      <c r="I86" s="212"/>
      <c r="J86" s="215"/>
      <c r="K86" s="218" t="str">
        <f>IF(F86="","",F86*'🏠 INICIO'!C8)</f>
        <v/>
      </c>
    </row>
    <row r="87" spans="1:11" ht="18" customHeight="1" x14ac:dyDescent="0.2">
      <c r="A87" s="206"/>
      <c r="B87" s="207">
        <v>83</v>
      </c>
      <c r="C87" s="208"/>
      <c r="D87" s="208"/>
      <c r="E87" s="209"/>
      <c r="F87" s="210"/>
      <c r="G87" s="209"/>
      <c r="H87" s="209"/>
      <c r="I87" s="212"/>
      <c r="J87" s="208"/>
      <c r="K87" s="213" t="str">
        <f>IF(F87="","",F87*'🏠 INICIO'!C8)</f>
        <v/>
      </c>
    </row>
    <row r="88" spans="1:11" ht="18" customHeight="1" x14ac:dyDescent="0.2">
      <c r="A88" s="206"/>
      <c r="B88" s="214">
        <v>84</v>
      </c>
      <c r="C88" s="215"/>
      <c r="D88" s="215"/>
      <c r="E88" s="216"/>
      <c r="F88" s="217"/>
      <c r="G88" s="216"/>
      <c r="H88" s="216"/>
      <c r="I88" s="212"/>
      <c r="J88" s="215"/>
      <c r="K88" s="218" t="str">
        <f>IF(F88="","",F88*'🏠 INICIO'!C8)</f>
        <v/>
      </c>
    </row>
    <row r="89" spans="1:11" ht="18" customHeight="1" x14ac:dyDescent="0.2">
      <c r="A89" s="206"/>
      <c r="B89" s="207">
        <v>85</v>
      </c>
      <c r="C89" s="208"/>
      <c r="D89" s="208"/>
      <c r="E89" s="209"/>
      <c r="F89" s="210"/>
      <c r="G89" s="209"/>
      <c r="H89" s="209"/>
      <c r="I89" s="212"/>
      <c r="J89" s="208"/>
      <c r="K89" s="213" t="str">
        <f>IF(F89="","",F89*'🏠 INICIO'!C8)</f>
        <v/>
      </c>
    </row>
    <row r="90" spans="1:11" ht="18" customHeight="1" x14ac:dyDescent="0.2">
      <c r="A90" s="206"/>
      <c r="B90" s="214">
        <v>86</v>
      </c>
      <c r="C90" s="215"/>
      <c r="D90" s="215"/>
      <c r="E90" s="216"/>
      <c r="F90" s="217"/>
      <c r="G90" s="216"/>
      <c r="H90" s="216"/>
      <c r="I90" s="212"/>
      <c r="J90" s="215"/>
      <c r="K90" s="218" t="str">
        <f>IF(F90="","",F90*'🏠 INICIO'!C8)</f>
        <v/>
      </c>
    </row>
    <row r="91" spans="1:11" ht="18" customHeight="1" x14ac:dyDescent="0.2">
      <c r="A91" s="206"/>
      <c r="B91" s="207">
        <v>87</v>
      </c>
      <c r="C91" s="208"/>
      <c r="D91" s="208"/>
      <c r="E91" s="209"/>
      <c r="F91" s="210"/>
      <c r="G91" s="209"/>
      <c r="H91" s="209"/>
      <c r="I91" s="212"/>
      <c r="J91" s="208"/>
      <c r="K91" s="213" t="str">
        <f>IF(F91="","",F91*'🏠 INICIO'!C8)</f>
        <v/>
      </c>
    </row>
    <row r="92" spans="1:11" ht="18" customHeight="1" x14ac:dyDescent="0.2">
      <c r="A92" s="206"/>
      <c r="B92" s="214">
        <v>88</v>
      </c>
      <c r="C92" s="215"/>
      <c r="D92" s="215"/>
      <c r="E92" s="216"/>
      <c r="F92" s="217"/>
      <c r="G92" s="216"/>
      <c r="H92" s="216"/>
      <c r="I92" s="212"/>
      <c r="J92" s="215"/>
      <c r="K92" s="218" t="str">
        <f>IF(F92="","",F92*'🏠 INICIO'!C8)</f>
        <v/>
      </c>
    </row>
    <row r="93" spans="1:11" ht="18" customHeight="1" x14ac:dyDescent="0.2">
      <c r="A93" s="206"/>
      <c r="B93" s="207">
        <v>89</v>
      </c>
      <c r="C93" s="208"/>
      <c r="D93" s="208"/>
      <c r="E93" s="209"/>
      <c r="F93" s="210"/>
      <c r="G93" s="209"/>
      <c r="H93" s="209"/>
      <c r="I93" s="212"/>
      <c r="J93" s="208"/>
      <c r="K93" s="213" t="str">
        <f>IF(F93="","",F93*'🏠 INICIO'!C8)</f>
        <v/>
      </c>
    </row>
    <row r="94" spans="1:11" ht="18" customHeight="1" x14ac:dyDescent="0.2">
      <c r="A94" s="206"/>
      <c r="B94" s="214">
        <v>90</v>
      </c>
      <c r="C94" s="215"/>
      <c r="D94" s="215"/>
      <c r="E94" s="216"/>
      <c r="F94" s="217"/>
      <c r="G94" s="216"/>
      <c r="H94" s="216"/>
      <c r="I94" s="212"/>
      <c r="J94" s="215"/>
      <c r="K94" s="218" t="str">
        <f>IF(F94="","",F94*'🏠 INICIO'!C8)</f>
        <v/>
      </c>
    </row>
    <row r="95" spans="1:11" ht="18" customHeight="1" x14ac:dyDescent="0.2">
      <c r="A95" s="206"/>
      <c r="B95" s="207">
        <v>91</v>
      </c>
      <c r="C95" s="208"/>
      <c r="D95" s="208"/>
      <c r="E95" s="209"/>
      <c r="F95" s="210"/>
      <c r="G95" s="209"/>
      <c r="H95" s="209"/>
      <c r="I95" s="212"/>
      <c r="J95" s="208"/>
      <c r="K95" s="213" t="str">
        <f>IF(F95="","",F95*'🏠 INICIO'!C8)</f>
        <v/>
      </c>
    </row>
    <row r="96" spans="1:11" ht="18" customHeight="1" x14ac:dyDescent="0.2">
      <c r="A96" s="206"/>
      <c r="B96" s="214">
        <v>92</v>
      </c>
      <c r="C96" s="215"/>
      <c r="D96" s="215"/>
      <c r="E96" s="216"/>
      <c r="F96" s="217"/>
      <c r="G96" s="216"/>
      <c r="H96" s="216"/>
      <c r="I96" s="212"/>
      <c r="J96" s="215"/>
      <c r="K96" s="218" t="str">
        <f>IF(F96="","",F96*'🏠 INICIO'!C8)</f>
        <v/>
      </c>
    </row>
    <row r="97" spans="1:11" ht="18" customHeight="1" x14ac:dyDescent="0.2">
      <c r="A97" s="206"/>
      <c r="B97" s="207">
        <v>93</v>
      </c>
      <c r="C97" s="208"/>
      <c r="D97" s="208"/>
      <c r="E97" s="209"/>
      <c r="F97" s="210"/>
      <c r="G97" s="209"/>
      <c r="H97" s="209"/>
      <c r="I97" s="212"/>
      <c r="J97" s="208"/>
      <c r="K97" s="213" t="str">
        <f>IF(F97="","",F97*'🏠 INICIO'!C8)</f>
        <v/>
      </c>
    </row>
    <row r="98" spans="1:11" ht="18" customHeight="1" x14ac:dyDescent="0.2">
      <c r="A98" s="206"/>
      <c r="B98" s="214">
        <v>94</v>
      </c>
      <c r="C98" s="215"/>
      <c r="D98" s="215"/>
      <c r="E98" s="216"/>
      <c r="F98" s="217"/>
      <c r="G98" s="216"/>
      <c r="H98" s="216"/>
      <c r="I98" s="212"/>
      <c r="J98" s="215"/>
      <c r="K98" s="218" t="str">
        <f>IF(F98="","",F98*'🏠 INICIO'!C8)</f>
        <v/>
      </c>
    </row>
    <row r="99" spans="1:11" ht="18" customHeight="1" x14ac:dyDescent="0.2">
      <c r="A99" s="206"/>
      <c r="B99" s="207">
        <v>95</v>
      </c>
      <c r="C99" s="208"/>
      <c r="D99" s="208"/>
      <c r="E99" s="209"/>
      <c r="F99" s="210"/>
      <c r="G99" s="209"/>
      <c r="H99" s="209"/>
      <c r="I99" s="212"/>
      <c r="J99" s="208"/>
      <c r="K99" s="213" t="str">
        <f>IF(F99="","",F99*'🏠 INICIO'!C8)</f>
        <v/>
      </c>
    </row>
    <row r="100" spans="1:11" ht="18" customHeight="1" x14ac:dyDescent="0.2">
      <c r="A100" s="206"/>
      <c r="B100" s="214">
        <v>96</v>
      </c>
      <c r="C100" s="215"/>
      <c r="D100" s="215"/>
      <c r="E100" s="216"/>
      <c r="F100" s="217"/>
      <c r="G100" s="216"/>
      <c r="H100" s="216"/>
      <c r="I100" s="212"/>
      <c r="J100" s="215"/>
      <c r="K100" s="218" t="str">
        <f>IF(F100="","",F100*'🏠 INICIO'!C8)</f>
        <v/>
      </c>
    </row>
    <row r="101" spans="1:11" ht="18" customHeight="1" x14ac:dyDescent="0.2">
      <c r="A101" s="206"/>
      <c r="B101" s="207">
        <v>97</v>
      </c>
      <c r="C101" s="208"/>
      <c r="D101" s="208"/>
      <c r="E101" s="209"/>
      <c r="F101" s="210"/>
      <c r="G101" s="209"/>
      <c r="H101" s="209"/>
      <c r="I101" s="212"/>
      <c r="J101" s="208"/>
      <c r="K101" s="213" t="str">
        <f>IF(F101="","",F101*'🏠 INICIO'!C8)</f>
        <v/>
      </c>
    </row>
    <row r="102" spans="1:11" ht="18" customHeight="1" x14ac:dyDescent="0.2">
      <c r="A102" s="206"/>
      <c r="B102" s="214">
        <v>98</v>
      </c>
      <c r="C102" s="215"/>
      <c r="D102" s="215"/>
      <c r="E102" s="216"/>
      <c r="F102" s="217"/>
      <c r="G102" s="216"/>
      <c r="H102" s="216"/>
      <c r="I102" s="212"/>
      <c r="J102" s="215"/>
      <c r="K102" s="218" t="str">
        <f>IF(F102="","",F102*'🏠 INICIO'!C8)</f>
        <v/>
      </c>
    </row>
    <row r="103" spans="1:11" ht="18" customHeight="1" x14ac:dyDescent="0.2">
      <c r="A103" s="206"/>
      <c r="B103" s="207">
        <v>99</v>
      </c>
      <c r="C103" s="208"/>
      <c r="D103" s="208"/>
      <c r="E103" s="209"/>
      <c r="F103" s="210"/>
      <c r="G103" s="209"/>
      <c r="H103" s="209"/>
      <c r="I103" s="212"/>
      <c r="J103" s="208"/>
      <c r="K103" s="213" t="str">
        <f>IF(F103="","",F103*'🏠 INICIO'!C8)</f>
        <v/>
      </c>
    </row>
    <row r="104" spans="1:11" ht="18" customHeight="1" x14ac:dyDescent="0.2">
      <c r="A104" s="206"/>
      <c r="B104" s="214">
        <v>100</v>
      </c>
      <c r="C104" s="215"/>
      <c r="D104" s="215"/>
      <c r="E104" s="216"/>
      <c r="F104" s="217"/>
      <c r="G104" s="216"/>
      <c r="H104" s="216"/>
      <c r="I104" s="212"/>
      <c r="J104" s="215"/>
      <c r="K104" s="218" t="str">
        <f>IF(F104="","",F104*'🏠 INICIO'!C8)</f>
        <v/>
      </c>
    </row>
    <row r="106" spans="1:11" ht="24" customHeight="1" x14ac:dyDescent="0.2"/>
    <row r="107" spans="1:11" ht="19.5" customHeight="1" x14ac:dyDescent="0.2">
      <c r="B107" s="220" t="s">
        <v>333</v>
      </c>
      <c r="C107" s="220"/>
      <c r="D107" s="143"/>
      <c r="E107" s="221" t="s">
        <v>308</v>
      </c>
      <c r="F107" s="143"/>
      <c r="G107" s="222" t="s">
        <v>309</v>
      </c>
      <c r="H107" s="143"/>
      <c r="I107" t="s">
        <v>310</v>
      </c>
      <c r="J107" s="172" t="s">
        <v>311</v>
      </c>
      <c r="K107" s="143"/>
    </row>
    <row r="108" spans="1:11" ht="27.75" customHeight="1" x14ac:dyDescent="0.2">
      <c r="B108" s="313">
        <f>IFERROR(SUMIF(H5:H104,"PAGADO",F5:F104),0)</f>
        <v>90</v>
      </c>
      <c r="C108" s="313"/>
      <c r="D108" s="143"/>
      <c r="E108" s="223">
        <f>COUNTIF(H5:H104,"PAGADO")</f>
        <v>1</v>
      </c>
      <c r="F108" s="143"/>
      <c r="G108" s="224">
        <f>COUNTIF(H5:H104,"FALTA CANCELAR")</f>
        <v>0</v>
      </c>
      <c r="H108" s="143"/>
      <c r="I108">
        <f>IFERROR(SUMIF(H5:H104,"ADELANTO",F5:F104),0)</f>
        <v>0</v>
      </c>
      <c r="J108" s="225">
        <f>IFERROR(SUM(I5:I104),0)</f>
        <v>0</v>
      </c>
      <c r="K108" s="143">
        <f>IFERROR(SUM(K5:K104),0)</f>
        <v>9</v>
      </c>
    </row>
  </sheetData>
  <autoFilter ref="A4:K108" xr:uid="{00000000-0009-0000-0000-000011000000}"/>
  <mergeCells count="5">
    <mergeCell ref="A1:A3"/>
    <mergeCell ref="B1:K1"/>
    <mergeCell ref="B2:K2"/>
    <mergeCell ref="B3:K3"/>
    <mergeCell ref="B108:C108"/>
  </mergeCells>
  <dataValidations count="4">
    <dataValidation type="list" allowBlank="1" sqref="A5:A104" xr:uid="{00000000-0002-0000-1100-000000000000}">
      <formula1>"1,2,3,4,5,6,7,8,9,10,11,12,13,14,15,16,17,18,19,20,21,22,23,24,25,26"</formula1>
      <formula2>0</formula2>
    </dataValidation>
    <dataValidation type="list" allowBlank="1" sqref="E5:E104" xr:uid="{00000000-0002-0000-1100-000001000000}">
      <formula1>"YANBAL,ESIKA,CYZONE,LBEL,NATURA,AVON,FARMASI,ORIFLAME,OTRO"</formula1>
      <formula2>0</formula2>
    </dataValidation>
    <dataValidation type="list" allowBlank="1" sqref="G5:G104" xr:uid="{00000000-0002-0000-1100-000002000000}">
      <formula1>"YAPE,PLIN,EFECTIVO,TRANSFERENCIA,MIXTO"</formula1>
      <formula2>0</formula2>
    </dataValidation>
    <dataValidation type="list" allowBlank="1" sqref="H5:H104" xr:uid="{00000000-0002-0000-1100-000003000000}">
      <formula1>"PAGADO,FALTA CANCELAR,ADELANTO"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7"/>
  <sheetViews>
    <sheetView zoomScale="180" zoomScaleNormal="180" workbookViewId="0">
      <pane ySplit="2" topLeftCell="A3" activePane="bottomLeft" state="frozen"/>
      <selection pane="bottomLeft" activeCell="D21" sqref="D21"/>
    </sheetView>
  </sheetViews>
  <sheetFormatPr baseColWidth="10" defaultColWidth="8.6640625" defaultRowHeight="15" x14ac:dyDescent="0.2"/>
  <cols>
    <col min="1" max="1" width="14" customWidth="1"/>
    <col min="2" max="2" width="22" customWidth="1"/>
    <col min="3" max="3" width="16" customWidth="1"/>
    <col min="4" max="4" width="18" customWidth="1"/>
    <col min="5" max="5" width="16" customWidth="1"/>
  </cols>
  <sheetData>
    <row r="1" spans="1:5" ht="39.75" customHeight="1" x14ac:dyDescent="0.2">
      <c r="A1" s="314" t="s">
        <v>346</v>
      </c>
      <c r="B1" s="314"/>
      <c r="C1" s="314"/>
      <c r="D1" s="314"/>
      <c r="E1" t="e" vm="1">
        <v>#VALUE!</v>
      </c>
    </row>
    <row r="3" spans="1:5" ht="21.75" customHeight="1" x14ac:dyDescent="0.2">
      <c r="A3" s="203" t="s">
        <v>177</v>
      </c>
      <c r="B3" s="203" t="s">
        <v>334</v>
      </c>
      <c r="C3" s="203" t="s">
        <v>335</v>
      </c>
      <c r="D3" s="203" t="s">
        <v>336</v>
      </c>
      <c r="E3" s="203" t="s">
        <v>302</v>
      </c>
    </row>
    <row r="4" spans="1:5" ht="18" customHeight="1" x14ac:dyDescent="0.2">
      <c r="A4" s="191" t="s">
        <v>174</v>
      </c>
      <c r="B4" s="210">
        <f>'SEG - ENERO'!B108</f>
        <v>90</v>
      </c>
      <c r="C4" s="226">
        <f>'SEG - ENERO'!E108</f>
        <v>1</v>
      </c>
      <c r="D4" s="226">
        <f>'SEG - ENERO'!G108</f>
        <v>0</v>
      </c>
      <c r="E4" s="213">
        <f>'SEG - ENERO'!K108</f>
        <v>9</v>
      </c>
    </row>
    <row r="5" spans="1:5" ht="18" customHeight="1" x14ac:dyDescent="0.2">
      <c r="A5" s="196" t="s">
        <v>267</v>
      </c>
      <c r="B5" s="217">
        <f>'SEG - FEBRERO'!B108</f>
        <v>90</v>
      </c>
      <c r="C5" s="227">
        <f>'SEG - FEBRERO'!E108</f>
        <v>1</v>
      </c>
      <c r="D5" s="227">
        <f>'SEG - FEBRERO'!G108</f>
        <v>0</v>
      </c>
      <c r="E5" s="218">
        <f>'SEG - FEBRERO'!K108</f>
        <v>9</v>
      </c>
    </row>
    <row r="6" spans="1:5" ht="18" customHeight="1" x14ac:dyDescent="0.2">
      <c r="A6" s="191" t="s">
        <v>268</v>
      </c>
      <c r="B6" s="210">
        <f>'SEG - MARZO'!B108</f>
        <v>90</v>
      </c>
      <c r="C6" s="226">
        <f>'SEG - MARZO'!E108</f>
        <v>1</v>
      </c>
      <c r="D6" s="226">
        <f>'SEG - MARZO'!G108</f>
        <v>0</v>
      </c>
      <c r="E6" s="213">
        <f>'SEG - MARZO'!K108</f>
        <v>9</v>
      </c>
    </row>
    <row r="7" spans="1:5" ht="18" customHeight="1" x14ac:dyDescent="0.2">
      <c r="A7" s="196" t="s">
        <v>269</v>
      </c>
      <c r="B7" s="217">
        <f>'SEG - ABRIL'!B108</f>
        <v>0</v>
      </c>
      <c r="C7" s="227">
        <f>'SEG - ABRIL'!E108</f>
        <v>0</v>
      </c>
      <c r="D7" s="227">
        <f>'SEG - ABRIL'!G108</f>
        <v>0</v>
      </c>
      <c r="E7" s="218">
        <f>'SEG - ABRIL'!K108</f>
        <v>9</v>
      </c>
    </row>
    <row r="8" spans="1:5" ht="18" customHeight="1" x14ac:dyDescent="0.2">
      <c r="A8" s="191" t="s">
        <v>270</v>
      </c>
      <c r="B8" s="210">
        <f>'SEG - MAYO'!B108</f>
        <v>90</v>
      </c>
      <c r="C8" s="226">
        <f>'SEG - MAYO'!E108</f>
        <v>1</v>
      </c>
      <c r="D8" s="226">
        <f>'SEG - MAYO'!G108</f>
        <v>0</v>
      </c>
      <c r="E8" s="213">
        <f>'SEG - MAYO'!K108</f>
        <v>9</v>
      </c>
    </row>
    <row r="9" spans="1:5" ht="18" customHeight="1" x14ac:dyDescent="0.2">
      <c r="A9" s="196" t="s">
        <v>188</v>
      </c>
      <c r="B9" s="217">
        <f>'SEG - JUNIO'!B108</f>
        <v>90</v>
      </c>
      <c r="C9" s="227">
        <f>'SEG - JUNIO'!E108</f>
        <v>1</v>
      </c>
      <c r="D9" s="227">
        <f>'SEG - JUNIO'!G108</f>
        <v>0</v>
      </c>
      <c r="E9" s="218">
        <f>'SEG - JUNIO'!K108</f>
        <v>9</v>
      </c>
    </row>
    <row r="10" spans="1:5" ht="18" customHeight="1" x14ac:dyDescent="0.2">
      <c r="A10" s="191" t="s">
        <v>337</v>
      </c>
      <c r="B10" s="210">
        <f>'SEG - JULIO'!B108</f>
        <v>90</v>
      </c>
      <c r="C10" s="226">
        <f>'SEG - JULIO'!E108</f>
        <v>1</v>
      </c>
      <c r="D10" s="226">
        <f>'SEG - JULIO'!G108</f>
        <v>0</v>
      </c>
      <c r="E10" s="213">
        <f>'SEG - JULIO'!K108</f>
        <v>9</v>
      </c>
    </row>
    <row r="11" spans="1:5" ht="18" customHeight="1" x14ac:dyDescent="0.2">
      <c r="A11" s="196" t="s">
        <v>338</v>
      </c>
      <c r="B11" s="217">
        <f>'SEG - AGOSTO'!B108</f>
        <v>90</v>
      </c>
      <c r="C11" s="227">
        <f>'SEG - AGOSTO'!E108</f>
        <v>1</v>
      </c>
      <c r="D11" s="227">
        <f>'SEG - AGOSTO'!G108</f>
        <v>0</v>
      </c>
      <c r="E11" s="218">
        <f>'SEG - AGOSTO'!K108</f>
        <v>9</v>
      </c>
    </row>
    <row r="12" spans="1:5" ht="18" customHeight="1" x14ac:dyDescent="0.2">
      <c r="A12" s="191" t="s">
        <v>339</v>
      </c>
      <c r="B12" s="210">
        <f>'SEG - SEPTIEMBRE'!B108</f>
        <v>90</v>
      </c>
      <c r="C12" s="226">
        <f>'SEG - SEPTIEMBRE'!E108</f>
        <v>1</v>
      </c>
      <c r="D12" s="226">
        <f>'SEG - SEPTIEMBRE'!G108</f>
        <v>0</v>
      </c>
      <c r="E12" s="213">
        <f>'SEG - SEPTIEMBRE'!K108</f>
        <v>9</v>
      </c>
    </row>
    <row r="13" spans="1:5" ht="18" customHeight="1" x14ac:dyDescent="0.2">
      <c r="A13" s="196" t="s">
        <v>340</v>
      </c>
      <c r="B13" s="217">
        <f>'SEG - OCTUBRE'!B108</f>
        <v>90</v>
      </c>
      <c r="C13" s="227">
        <f>'SEG - OCTUBRE'!E108</f>
        <v>1</v>
      </c>
      <c r="D13" s="227">
        <f>'SEG - OCTUBRE'!G108</f>
        <v>0</v>
      </c>
      <c r="E13" s="218">
        <f>'SEG - OCTUBRE'!K108</f>
        <v>9</v>
      </c>
    </row>
    <row r="14" spans="1:5" ht="18" customHeight="1" x14ac:dyDescent="0.2">
      <c r="A14" s="191" t="s">
        <v>341</v>
      </c>
      <c r="B14" s="210">
        <f>'SEG - NOVIEMBRE'!B108</f>
        <v>90</v>
      </c>
      <c r="C14" s="226">
        <f>'SEG - NOVIEMBRE'!E108</f>
        <v>1</v>
      </c>
      <c r="D14" s="226">
        <f>'SEG - NOVIEMBRE'!G108</f>
        <v>0</v>
      </c>
      <c r="E14" s="213">
        <f>'SEG - NOVIEMBRE'!K108</f>
        <v>9</v>
      </c>
    </row>
    <row r="15" spans="1:5" ht="18" customHeight="1" x14ac:dyDescent="0.2">
      <c r="A15" s="196" t="s">
        <v>342</v>
      </c>
      <c r="B15" s="217">
        <f>'SEG - DICIEMBRE'!B108</f>
        <v>90</v>
      </c>
      <c r="C15" s="227">
        <f>'SEG - DICIEMBRE'!E108</f>
        <v>1</v>
      </c>
      <c r="D15" s="227">
        <f>'SEG - DICIEMBRE'!G108</f>
        <v>0</v>
      </c>
      <c r="E15" s="218">
        <f>'SEG - DICIEMBRE'!K108</f>
        <v>9</v>
      </c>
    </row>
    <row r="17" spans="1:5" ht="24" customHeight="1" x14ac:dyDescent="0.2">
      <c r="A17" s="228" t="s">
        <v>343</v>
      </c>
      <c r="B17" s="229">
        <f>SUM(B4:B15)</f>
        <v>990</v>
      </c>
      <c r="C17" s="230">
        <f>SUM(C4:C15)</f>
        <v>11</v>
      </c>
      <c r="D17" s="230">
        <f>SUM(D4:D15)</f>
        <v>0</v>
      </c>
      <c r="E17" s="229">
        <f>SUM(E4:E15)</f>
        <v>108</v>
      </c>
    </row>
  </sheetData>
  <autoFilter ref="A2:E16" xr:uid="{00000000-0009-0000-0000-000012000000}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🏠 INICIO</vt:lpstr>
      <vt:lpstr>COSTO UNITARIO</vt:lpstr>
      <vt:lpstr>INVENTARIO EN STOCK</vt:lpstr>
      <vt:lpstr>📊 CALCULADORA CAMPAÑA</vt:lpstr>
      <vt:lpstr>💵 CUANTO ME PAGO</vt:lpstr>
      <vt:lpstr>🗂️ MONITOREO CATÁLOGOS</vt:lpstr>
      <vt:lpstr>SEG - ENERO</vt:lpstr>
      <vt:lpstr>SEG - FEBRERO</vt:lpstr>
      <vt:lpstr>SEG - MARZO</vt:lpstr>
      <vt:lpstr>SEG - ABRIL</vt:lpstr>
      <vt:lpstr>SEG - MAYO</vt:lpstr>
      <vt:lpstr>SEG - JUNIO</vt:lpstr>
      <vt:lpstr>SEG - JULIO</vt:lpstr>
      <vt:lpstr>SEG - AGOSTO</vt:lpstr>
      <vt:lpstr>SEG - SEPTIEMBRE</vt:lpstr>
      <vt:lpstr>SEG - OCTUBRE</vt:lpstr>
      <vt:lpstr>SEG - NOVIEMBRE</vt:lpstr>
      <vt:lpstr>SEG - DICIEMBRE</vt:lpstr>
      <vt:lpstr>📊 RESUMEN 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Ambar Milagros Castro Alejos</cp:lastModifiedBy>
  <cp:revision>0</cp:revision>
  <dcterms:created xsi:type="dcterms:W3CDTF">2026-06-11T21:49:48Z</dcterms:created>
  <dcterms:modified xsi:type="dcterms:W3CDTF">2026-06-14T08:59:48Z</dcterms:modified>
  <dc:language>en-US</dc:language>
</cp:coreProperties>
</file>