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mbar/Downloads/"/>
    </mc:Choice>
  </mc:AlternateContent>
  <xr:revisionPtr revIDLastSave="0" documentId="8_{77DC563E-E4F4-7B45-9503-656009290B0F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🏠 INICIO" sheetId="1" r:id="rId1"/>
    <sheet name="📋 INVENTARIO SIMPLE" sheetId="2" r:id="rId2"/>
    <sheet name="SEG - ENERO" sheetId="3" r:id="rId3"/>
    <sheet name="SEG - FEBRERO" sheetId="4" r:id="rId4"/>
    <sheet name="SEG - MARZO" sheetId="5" r:id="rId5"/>
    <sheet name="SEG - ABRIL" sheetId="6" r:id="rId6"/>
    <sheet name="SEG - MAYO" sheetId="7" r:id="rId7"/>
    <sheet name="SEG - JUNIO" sheetId="8" r:id="rId8"/>
    <sheet name="SEG - JULIO" sheetId="9" r:id="rId9"/>
    <sheet name="SEG - AGOSTO" sheetId="10" r:id="rId10"/>
    <sheet name="SEG - SEPTIEMBRE" sheetId="11" r:id="rId11"/>
    <sheet name="SEG - OCTUBRE" sheetId="12" r:id="rId12"/>
    <sheet name="SEG - NOVIEMBRE" sheetId="13" r:id="rId13"/>
    <sheet name="SEG - DICIEMBRE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8" i="14" l="1"/>
  <c r="E58" i="14"/>
  <c r="C58" i="14"/>
  <c r="A58" i="14"/>
  <c r="G58" i="13"/>
  <c r="E58" i="13"/>
  <c r="C58" i="13"/>
  <c r="A58" i="13"/>
  <c r="G58" i="12"/>
  <c r="E58" i="12"/>
  <c r="C58" i="12"/>
  <c r="A58" i="12"/>
  <c r="G58" i="11"/>
  <c r="E58" i="11"/>
  <c r="C58" i="11"/>
  <c r="A58" i="11"/>
  <c r="G58" i="10"/>
  <c r="E58" i="10"/>
  <c r="C58" i="10"/>
  <c r="A58" i="10"/>
  <c r="G58" i="9"/>
  <c r="E58" i="9"/>
  <c r="C58" i="9"/>
  <c r="A58" i="9"/>
  <c r="G58" i="8"/>
  <c r="E58" i="8"/>
  <c r="C58" i="8"/>
  <c r="A58" i="8"/>
  <c r="G58" i="7"/>
  <c r="E58" i="7"/>
  <c r="C58" i="7"/>
  <c r="A58" i="7"/>
  <c r="G58" i="6"/>
  <c r="E58" i="6"/>
  <c r="C58" i="6"/>
  <c r="A58" i="6"/>
  <c r="G58" i="5"/>
  <c r="E58" i="5"/>
  <c r="C58" i="5"/>
  <c r="A58" i="5"/>
  <c r="G58" i="4"/>
  <c r="E58" i="4"/>
  <c r="C58" i="4"/>
  <c r="A58" i="4"/>
  <c r="G58" i="3"/>
  <c r="E58" i="3"/>
  <c r="C58" i="3"/>
  <c r="A58" i="3"/>
  <c r="E54" i="2"/>
  <c r="D54" i="2"/>
</calcChain>
</file>

<file path=xl/sharedStrings.xml><?xml version="1.0" encoding="utf-8"?>
<sst xmlns="http://schemas.openxmlformats.org/spreadsheetml/2006/main" count="266" uniqueCount="86">
  <si>
    <t>AMYSA  ·  MI CATÁLOGO AL DÍA</t>
  </si>
  <si>
    <t>Seguimiento simple de ventas y clientes   ·   Yanbal · Esika · Cyzone · LBel · Natura · Avon · Farmasi · Oriflame</t>
  </si>
  <si>
    <t>⚙️  CONFIGURA TU SISTEMA AQUÍ</t>
  </si>
  <si>
    <t>👤  Tu nombre de consultora:</t>
  </si>
  <si>
    <t>ESCRIBE TU NOMBRE</t>
  </si>
  <si>
    <t>← escribe tu nombre aquí</t>
  </si>
  <si>
    <t>📅  Año de control:</t>
  </si>
  <si>
    <t>← el año que estás registrando</t>
  </si>
  <si>
    <t>📋  GUÍA DE HOJAS — ¿QUÉ HACE CADA UNA?</t>
  </si>
  <si>
    <t>📋  INVENTARIO SIMPLE</t>
  </si>
  <si>
    <t>Tu lista de productos con su precio de venta. Configúrala una vez para consultar rápido.</t>
  </si>
  <si>
    <t xml:space="preserve">      📌 CONFIGURA UNA VEZ. Solo cuando agregas un producto nuevo o cambia su precio.</t>
  </si>
  <si>
    <t>📅  SEG — ENERO … DIC</t>
  </si>
  <si>
    <t>Registra cada venta: cliente, producto, precio, método de pago y estado.</t>
  </si>
  <si>
    <t xml:space="preserve">      📝 ÚSALA DIARIO. Anota cada venta en el mes que corresponde — el TOTAL del mes se calcula solo.</t>
  </si>
  <si>
    <t>🎨  LEYENDA DE COLORES EN LAS TABLAS</t>
  </si>
  <si>
    <t>🔵  Celda azul sobre fondo amarillo</t>
  </si>
  <si>
    <t>Aquí TÚ escribes los datos (nombre, producto, precio, cantidad…)</t>
  </si>
  <si>
    <t>⚫  Celda azul sobre fondo claro</t>
  </si>
  <si>
    <t>Se calcula sola automáticamente — NO la edites</t>
  </si>
  <si>
    <t>🟢  Celda verde</t>
  </si>
  <si>
    <t>Pagado / dinero que entra / tu ganancia</t>
  </si>
  <si>
    <t>🔴  Celda roja</t>
  </si>
  <si>
    <t>Falta cancelar / costo / dinero que sale</t>
  </si>
  <si>
    <t>💡  Este sistema es para llevar el control simple de tus ventas y clientes. No calcula costos ni ganancias. Cuando quieras conocer tu ganancia real por producto, controlar comisiones y tener un resumen anual, sube al plan Intermedio: «Gestión de Ventas por Catálogo».</t>
  </si>
  <si>
    <t>📋  INVENTARIO SIMPLE — Tu Lista de Productos y Precios</t>
  </si>
  <si>
    <t xml:space="preserve">   Anota tus productos con su precio de venta. Úsala como tu menú para consultar rápido cuando vendas. (No calcula costos ni ganancias.)</t>
  </si>
  <si>
    <t>#</t>
  </si>
  <si>
    <t>CATÁLOGO</t>
  </si>
  <si>
    <t>PRODUCTO</t>
  </si>
  <si>
    <t>🏷️ PRECIO VENTA (S/)</t>
  </si>
  <si>
    <t>📦 STOCK</t>
  </si>
  <si>
    <t>NATURA</t>
  </si>
  <si>
    <t>Crema Tododía Ciruela y Flor de Vainilla</t>
  </si>
  <si>
    <t>CYZONE</t>
  </si>
  <si>
    <t>Mini Chic Colonia</t>
  </si>
  <si>
    <t>ESIKA</t>
  </si>
  <si>
    <t>Expression Magic Rímel</t>
  </si>
  <si>
    <t>YANBAL</t>
  </si>
  <si>
    <t>Kit Perfume Dulce Vanidad</t>
  </si>
  <si>
    <t>AVON</t>
  </si>
  <si>
    <t>Anew Gold Crema Facial</t>
  </si>
  <si>
    <t>📊  TOTALES</t>
  </si>
  <si>
    <t>productos registrados</t>
  </si>
  <si>
    <t>unidades en stock</t>
  </si>
  <si>
    <t>✅  SEGUIMIENTO DE VENTAS — ENERO</t>
  </si>
  <si>
    <t xml:space="preserve">   Registra tus ventas del mes. Usa los desplegables ▼ para Campaña, Catálogo, Método de pago y Estado.</t>
  </si>
  <si>
    <t xml:space="preserve">   🟢 PAGADO    🔴 FALTA CANCELAR    🟡 ADELANTO</t>
  </si>
  <si>
    <t>CAMPAÑA
N°</t>
  </si>
  <si>
    <t>CLIENTE</t>
  </si>
  <si>
    <t>PRECIO (S/)</t>
  </si>
  <si>
    <t>MÉTODO PAGO</t>
  </si>
  <si>
    <t>ESTADO PAGO</t>
  </si>
  <si>
    <t>ADELANTO S/</t>
  </si>
  <si>
    <t>NOTAS</t>
  </si>
  <si>
    <t>PAOLA</t>
  </si>
  <si>
    <t>Crema Tododía Ciruela</t>
  </si>
  <si>
    <t>EFECTIVO</t>
  </si>
  <si>
    <t>PAGADO</t>
  </si>
  <si>
    <t>📊  RESUMEN DEL MES — ENERO</t>
  </si>
  <si>
    <t>💰 TOTAL VENDIDO (S/)</t>
  </si>
  <si>
    <t>🟢 PAGADOS</t>
  </si>
  <si>
    <t>🔴 FALTA CANCELAR</t>
  </si>
  <si>
    <t>🟡 ADELANTOS (S/)</t>
  </si>
  <si>
    <t>✅  SEGUIMIENTO DE VENTAS — FEBRERO</t>
  </si>
  <si>
    <t>📊  RESUMEN DEL MES — FEBRERO</t>
  </si>
  <si>
    <t>✅  SEGUIMIENTO DE VENTAS — MARZO</t>
  </si>
  <si>
    <t>📊  RESUMEN DEL MES — MARZO</t>
  </si>
  <si>
    <t>✅  SEGUIMIENTO DE VENTAS — ABRIL</t>
  </si>
  <si>
    <t>📊  RESUMEN DEL MES — ABRIL</t>
  </si>
  <si>
    <t>✅  SEGUIMIENTO DE VENTAS — MAYO</t>
  </si>
  <si>
    <t>📊  RESUMEN DEL MES — MAYO</t>
  </si>
  <si>
    <t>✅  SEGUIMIENTO DE VENTAS — JUNIO</t>
  </si>
  <si>
    <t>📊  RESUMEN DEL MES — JUNIO</t>
  </si>
  <si>
    <t>✅  SEGUIMIENTO DE VENTAS — JULIO</t>
  </si>
  <si>
    <t>📊  RESUMEN DEL MES — JULIO</t>
  </si>
  <si>
    <t>✅  SEGUIMIENTO DE VENTAS — AGOSTO</t>
  </si>
  <si>
    <t>📊  RESUMEN DEL MES — AGOSTO</t>
  </si>
  <si>
    <t>✅  SEGUIMIENTO DE VENTAS — SEPTIEMBRE</t>
  </si>
  <si>
    <t>📊  RESUMEN DEL MES — SEPTIEMBRE</t>
  </si>
  <si>
    <t>✅  SEGUIMIENTO DE VENTAS — OCTUBRE</t>
  </si>
  <si>
    <t>📊  RESUMEN DEL MES — OCTUBRE</t>
  </si>
  <si>
    <t>✅  SEGUIMIENTO DE VENTAS — NOVIEMBRE</t>
  </si>
  <si>
    <t>📊  RESUMEN DEL MES — NOVIEMBRE</t>
  </si>
  <si>
    <t>✅  SEGUIMIENTO DE VENTAS — DICIEMBRE</t>
  </si>
  <si>
    <t>📊  RESUMEN DEL MES —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</si>
</sst>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3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9.5"/>
      <color rgb="FFCE93D8"/>
      <name val="Arial"/>
      <family val="2"/>
    </font>
    <font>
      <b/>
      <sz val="11"/>
      <color rgb="FF5B2D8E"/>
      <name val="Arial"/>
      <family val="2"/>
    </font>
    <font>
      <b/>
      <sz val="11"/>
      <color rgb="FF1A1A2E"/>
      <name val="Arial"/>
      <family val="2"/>
    </font>
    <font>
      <b/>
      <sz val="12"/>
      <color rgb="FF0000FF"/>
      <name val="Arial"/>
      <family val="2"/>
    </font>
    <font>
      <i/>
      <sz val="9"/>
      <color rgb="FF757575"/>
      <name val="Arial"/>
      <family val="2"/>
    </font>
    <font>
      <b/>
      <sz val="10.5"/>
      <color rgb="FF5B2D8E"/>
      <name val="Arial"/>
      <family val="2"/>
    </font>
    <font>
      <sz val="10"/>
      <color rgb="FF1A1A2E"/>
      <name val="Arial"/>
      <family val="2"/>
    </font>
    <font>
      <b/>
      <sz val="10"/>
      <color rgb="FF0000FF"/>
      <name val="Arial"/>
      <family val="2"/>
    </font>
    <font>
      <b/>
      <sz val="10"/>
      <color rgb="FF1565C0"/>
      <name val="Arial"/>
      <family val="2"/>
    </font>
    <font>
      <b/>
      <sz val="10"/>
      <color rgb="FF1B5E20"/>
      <name val="Arial"/>
      <family val="2"/>
    </font>
    <font>
      <b/>
      <sz val="10"/>
      <color rgb="FFC62828"/>
      <name val="Arial"/>
      <family val="2"/>
    </font>
    <font>
      <i/>
      <sz val="10"/>
      <color rgb="FFE91E8C"/>
      <name val="Arial"/>
      <family val="2"/>
    </font>
    <font>
      <b/>
      <sz val="15"/>
      <color rgb="FFFFFFFF"/>
      <name val="Arial"/>
      <family val="2"/>
    </font>
    <font>
      <b/>
      <sz val="9.5"/>
      <color rgb="FFFFFFFF"/>
      <name val="Arial"/>
      <family val="2"/>
    </font>
    <font>
      <b/>
      <sz val="10"/>
      <color rgb="FF5B2D8E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i/>
      <sz val="8"/>
      <color rgb="FF757575"/>
      <name val="Arial"/>
      <family val="2"/>
    </font>
    <font>
      <b/>
      <sz val="9"/>
      <color rgb="FF1A1A2E"/>
      <name val="Arial"/>
      <family val="2"/>
    </font>
    <font>
      <b/>
      <sz val="9"/>
      <color rgb="FF0D3B6E"/>
      <name val="Arial"/>
      <family val="2"/>
    </font>
    <font>
      <sz val="9"/>
      <color rgb="FF1A1A2E"/>
      <name val="Arial"/>
      <family val="2"/>
    </font>
    <font>
      <b/>
      <sz val="9"/>
      <color rgb="FF5B2D8E"/>
      <name val="Arial"/>
      <family val="2"/>
    </font>
    <font>
      <sz val="9"/>
      <color rgb="FF0000FF"/>
      <name val="Arial"/>
      <family val="2"/>
    </font>
    <font>
      <b/>
      <sz val="12"/>
      <color rgb="FFFFFFFF"/>
      <name val="Arial"/>
      <family val="2"/>
    </font>
    <font>
      <b/>
      <sz val="9.5"/>
      <color rgb="FF1B5E20"/>
      <name val="Arial"/>
      <family val="2"/>
    </font>
    <font>
      <b/>
      <sz val="9.5"/>
      <color rgb="FFC62828"/>
      <name val="Arial"/>
      <family val="2"/>
    </font>
    <font>
      <b/>
      <sz val="9.5"/>
      <color rgb="FFB8860B"/>
      <name val="Arial"/>
      <family val="2"/>
    </font>
    <font>
      <b/>
      <sz val="14"/>
      <color rgb="FF1B5E20"/>
      <name val="Arial"/>
      <family val="2"/>
    </font>
    <font>
      <b/>
      <sz val="14"/>
      <color rgb="FFC62828"/>
      <name val="Arial"/>
      <family val="2"/>
    </font>
    <font>
      <b/>
      <sz val="14"/>
      <color rgb="FFB8860B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7EEE9"/>
        <bgColor rgb="FFFFEBEE"/>
      </patternFill>
    </fill>
    <fill>
      <patternFill patternType="solid">
        <fgColor rgb="FF622697"/>
        <bgColor rgb="FF5B2D8E"/>
      </patternFill>
    </fill>
    <fill>
      <patternFill patternType="solid">
        <fgColor rgb="FF2D1B5E"/>
        <bgColor rgb="FF1A1A2E"/>
      </patternFill>
    </fill>
    <fill>
      <patternFill patternType="solid">
        <fgColor rgb="FFEDE7F6"/>
        <bgColor rgb="FFF7EEE9"/>
      </patternFill>
    </fill>
    <fill>
      <patternFill patternType="solid">
        <fgColor rgb="FFFFF9C4"/>
        <bgColor rgb="FFFFF3CD"/>
      </patternFill>
    </fill>
    <fill>
      <patternFill patternType="solid">
        <fgColor rgb="FFFFFFFF"/>
        <bgColor rgb="FFF6F4FB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E8ED"/>
      </patternFill>
    </fill>
    <fill>
      <patternFill patternType="solid">
        <fgColor rgb="FFFFE8ED"/>
        <bgColor rgb="FFFFEBEE"/>
      </patternFill>
    </fill>
    <fill>
      <patternFill patternType="solid">
        <fgColor rgb="FF4D2990"/>
        <bgColor rgb="FF5B2D8E"/>
      </patternFill>
    </fill>
    <fill>
      <patternFill patternType="solid">
        <fgColor rgb="FFF6F4FB"/>
        <bgColor rgb="FFF7EEE9"/>
      </patternFill>
    </fill>
    <fill>
      <patternFill patternType="solid">
        <fgColor rgb="FF5B2D8E"/>
        <bgColor rgb="FF622697"/>
      </patternFill>
    </fill>
    <fill>
      <patternFill patternType="solid">
        <fgColor rgb="FF045E65"/>
        <bgColor rgb="FF1B5E20"/>
      </patternFill>
    </fill>
    <fill>
      <patternFill patternType="solid">
        <fgColor rgb="FFFFF3CD"/>
        <bgColor rgb="FFFFF9C4"/>
      </patternFill>
    </fill>
  </fills>
  <borders count="2">
    <border>
      <left/>
      <right/>
      <top/>
      <bottom/>
      <diagonal/>
    </border>
    <border>
      <left style="thin">
        <color rgb="FFD9D5E8"/>
      </left>
      <right style="thin">
        <color rgb="FFD9D5E8"/>
      </right>
      <top style="thin">
        <color rgb="FFD9D5E8"/>
      </top>
      <bottom style="thin">
        <color rgb="FFD9D5E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6" fillId="9" borderId="1" xfId="0" applyFont="1" applyFill="1" applyBorder="1" applyAlignment="1">
      <alignment horizontal="center" vertical="center" wrapText="1"/>
    </xf>
    <xf numFmtId="0" fontId="25" fillId="14" borderId="0" xfId="0" applyFont="1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8" fillId="14" borderId="1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14" fillId="3" borderId="0" xfId="0" applyFont="1" applyFill="1" applyAlignment="1">
      <alignment horizontal="left" vertical="center"/>
    </xf>
    <xf numFmtId="0" fontId="13" fillId="11" borderId="0" xfId="0" applyFont="1" applyFill="1" applyAlignment="1">
      <alignment vertical="center" wrapText="1"/>
    </xf>
    <xf numFmtId="0" fontId="8" fillId="7" borderId="1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8" fillId="7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2" borderId="0" xfId="0" applyFill="1"/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5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top"/>
    </xf>
    <xf numFmtId="0" fontId="9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" fontId="17" fillId="6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15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164" fontId="24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vertical="center"/>
    </xf>
    <xf numFmtId="0" fontId="23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164" fontId="29" fillId="7" borderId="1" xfId="0" applyNumberFormat="1" applyFont="1" applyFill="1" applyBorder="1" applyAlignment="1">
      <alignment horizontal="center" vertical="center"/>
    </xf>
    <xf numFmtId="1" fontId="29" fillId="7" borderId="1" xfId="0" applyNumberFormat="1" applyFont="1" applyFill="1" applyBorder="1" applyAlignment="1">
      <alignment horizontal="center" vertical="center"/>
    </xf>
    <xf numFmtId="1" fontId="30" fillId="7" borderId="1" xfId="0" applyNumberFormat="1" applyFont="1" applyFill="1" applyBorder="1" applyAlignment="1">
      <alignment horizontal="center" vertical="center"/>
    </xf>
    <xf numFmtId="164" fontId="3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1B5E20"/>
      <rgbColor rgb="FF000080"/>
      <rgbColor rgb="FFB8860B"/>
      <rgbColor rgb="FF800080"/>
      <rgbColor rgb="FF045E65"/>
      <rgbColor rgb="FFEDE7F6"/>
      <rgbColor rgb="FF757575"/>
      <rgbColor rgb="FFB39DDB"/>
      <rgbColor rgb="FF5B2D8E"/>
      <rgbColor rgb="FFFFF9C4"/>
      <rgbColor rgb="FFE3F2FD"/>
      <rgbColor rgb="FF622697"/>
      <rgbColor rgb="FFFF8080"/>
      <rgbColor rgb="FF1565C0"/>
      <rgbColor rgb="FFD9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7EEE9"/>
      <rgbColor rgb="FFFFF3CD"/>
      <rgbColor rgb="FFF6F4FB"/>
      <rgbColor rgb="FFFFEBEE"/>
      <rgbColor rgb="FFCE93D8"/>
      <rgbColor rgb="FFFFE8E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B6E"/>
      <rgbColor rgb="FF339966"/>
      <rgbColor rgb="FF003300"/>
      <rgbColor rgb="FF1A1A2E"/>
      <rgbColor rgb="FFC62828"/>
      <rgbColor rgb="FF993366"/>
      <rgbColor rgb="FF4D2990"/>
      <rgbColor rgb="FF2D1B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1313640</xdr:colOff>
      <xdr:row>4</xdr:row>
      <xdr:rowOff>199440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3428280" cy="1266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2697"/>
    <pageSetUpPr fitToPage="1"/>
  </sheetPr>
  <dimension ref="B1:E26"/>
  <sheetViews>
    <sheetView showGridLines="0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22" customWidth="1"/>
    <col min="4" max="4" width="50" customWidth="1"/>
    <col min="5" max="5" width="16" customWidth="1"/>
    <col min="6" max="6" width="3" customWidth="1"/>
  </cols>
  <sheetData>
    <row r="1" spans="2:5" ht="21" customHeight="1" x14ac:dyDescent="0.2">
      <c r="B1" s="15"/>
      <c r="C1" s="15"/>
      <c r="D1" s="15"/>
      <c r="E1" s="15"/>
    </row>
    <row r="2" spans="2:5" ht="21" customHeight="1" x14ac:dyDescent="0.2">
      <c r="B2" s="15"/>
      <c r="C2" s="15"/>
      <c r="D2" s="15"/>
      <c r="E2" s="15"/>
    </row>
    <row r="3" spans="2:5" ht="21" customHeight="1" x14ac:dyDescent="0.2">
      <c r="B3" s="15"/>
      <c r="C3" s="15"/>
      <c r="D3" s="15"/>
      <c r="E3" s="15"/>
    </row>
    <row r="4" spans="2:5" ht="21" customHeight="1" x14ac:dyDescent="0.2">
      <c r="B4" s="15"/>
      <c r="C4" s="15"/>
      <c r="D4" s="15"/>
      <c r="E4" s="15"/>
    </row>
    <row r="5" spans="2:5" ht="21" customHeight="1" x14ac:dyDescent="0.2">
      <c r="B5" s="15"/>
      <c r="C5" s="15"/>
      <c r="D5" s="15"/>
      <c r="E5" s="15"/>
    </row>
    <row r="6" spans="2:5" ht="30" customHeight="1" x14ac:dyDescent="0.2">
      <c r="B6" s="14" t="s">
        <v>0</v>
      </c>
      <c r="C6" s="14"/>
      <c r="D6" s="14"/>
      <c r="E6" s="14"/>
    </row>
    <row r="7" spans="2:5" ht="25.5" customHeight="1" x14ac:dyDescent="0.2">
      <c r="B7" s="13" t="s">
        <v>1</v>
      </c>
      <c r="C7" s="13"/>
      <c r="D7" s="13"/>
      <c r="E7" s="13"/>
    </row>
    <row r="9" spans="2:5" ht="21.75" customHeight="1" x14ac:dyDescent="0.2">
      <c r="B9" s="12" t="s">
        <v>2</v>
      </c>
      <c r="C9" s="12"/>
      <c r="D9" s="12"/>
      <c r="E9" s="12"/>
    </row>
    <row r="10" spans="2:5" ht="15" customHeight="1" x14ac:dyDescent="0.2">
      <c r="B10" s="16" t="s">
        <v>3</v>
      </c>
      <c r="C10" s="17" t="s">
        <v>4</v>
      </c>
      <c r="D10" s="18" t="s">
        <v>5</v>
      </c>
    </row>
    <row r="11" spans="2:5" ht="15" customHeight="1" x14ac:dyDescent="0.2">
      <c r="B11" s="16" t="s">
        <v>6</v>
      </c>
      <c r="C11" s="19">
        <v>2026</v>
      </c>
      <c r="D11" s="18" t="s">
        <v>7</v>
      </c>
    </row>
    <row r="13" spans="2:5" ht="21.75" customHeight="1" x14ac:dyDescent="0.2">
      <c r="B13" s="12" t="s">
        <v>8</v>
      </c>
      <c r="C13" s="12"/>
      <c r="D13" s="12"/>
      <c r="E13" s="12"/>
    </row>
    <row r="14" spans="2:5" ht="30" customHeight="1" x14ac:dyDescent="0.2">
      <c r="B14" s="20" t="s">
        <v>9</v>
      </c>
      <c r="C14" s="11" t="s">
        <v>10</v>
      </c>
      <c r="D14" s="11"/>
      <c r="E14" s="11"/>
    </row>
    <row r="15" spans="2:5" ht="15" customHeight="1" x14ac:dyDescent="0.2">
      <c r="B15" s="10" t="s">
        <v>11</v>
      </c>
      <c r="C15" s="10"/>
      <c r="D15" s="10"/>
      <c r="E15" s="10"/>
    </row>
    <row r="16" spans="2:5" ht="30" customHeight="1" x14ac:dyDescent="0.2">
      <c r="B16" s="20" t="s">
        <v>12</v>
      </c>
      <c r="C16" s="11" t="s">
        <v>13</v>
      </c>
      <c r="D16" s="11"/>
      <c r="E16" s="11"/>
    </row>
    <row r="17" spans="2:5" ht="15" customHeight="1" x14ac:dyDescent="0.2">
      <c r="B17" s="10" t="s">
        <v>14</v>
      </c>
      <c r="C17" s="10"/>
      <c r="D17" s="10"/>
      <c r="E17" s="10"/>
    </row>
    <row r="19" spans="2:5" ht="21.75" customHeight="1" x14ac:dyDescent="0.2">
      <c r="B19" s="12" t="s">
        <v>15</v>
      </c>
      <c r="C19" s="12"/>
      <c r="D19" s="12"/>
      <c r="E19" s="12"/>
    </row>
    <row r="20" spans="2:5" ht="15" customHeight="1" x14ac:dyDescent="0.2">
      <c r="B20" s="21" t="s">
        <v>16</v>
      </c>
      <c r="C20" s="9" t="s">
        <v>17</v>
      </c>
      <c r="D20" s="9"/>
      <c r="E20" s="9"/>
    </row>
    <row r="21" spans="2:5" ht="15" customHeight="1" x14ac:dyDescent="0.2">
      <c r="B21" s="23" t="s">
        <v>18</v>
      </c>
      <c r="C21" s="9" t="s">
        <v>19</v>
      </c>
      <c r="D21" s="9"/>
      <c r="E21" s="9"/>
    </row>
    <row r="22" spans="2:5" ht="15" customHeight="1" x14ac:dyDescent="0.2">
      <c r="B22" s="24" t="s">
        <v>20</v>
      </c>
      <c r="C22" s="9" t="s">
        <v>21</v>
      </c>
      <c r="D22" s="9"/>
      <c r="E22" s="9"/>
    </row>
    <row r="23" spans="2:5" ht="15" customHeight="1" x14ac:dyDescent="0.2">
      <c r="B23" s="25" t="s">
        <v>22</v>
      </c>
      <c r="C23" s="9" t="s">
        <v>23</v>
      </c>
      <c r="D23" s="9"/>
      <c r="E23" s="9"/>
    </row>
    <row r="25" spans="2:5" ht="25.5" customHeight="1" x14ac:dyDescent="0.2">
      <c r="B25" s="8" t="s">
        <v>24</v>
      </c>
      <c r="C25" s="8"/>
      <c r="D25" s="8"/>
      <c r="E25" s="8"/>
    </row>
    <row r="26" spans="2:5" ht="25.5" customHeight="1" x14ac:dyDescent="0.2">
      <c r="B26" s="8"/>
      <c r="C26" s="8"/>
      <c r="D26" s="8"/>
      <c r="E26" s="8"/>
    </row>
  </sheetData>
  <mergeCells count="14">
    <mergeCell ref="C21:E21"/>
    <mergeCell ref="C22:E22"/>
    <mergeCell ref="C23:E23"/>
    <mergeCell ref="B25:E26"/>
    <mergeCell ref="B15:E15"/>
    <mergeCell ref="C16:E16"/>
    <mergeCell ref="B17:E17"/>
    <mergeCell ref="B19:E19"/>
    <mergeCell ref="C20:E20"/>
    <mergeCell ref="B6:E6"/>
    <mergeCell ref="B7:E7"/>
    <mergeCell ref="B9:E9"/>
    <mergeCell ref="B13:E13"/>
    <mergeCell ref="C14:E14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2D8E"/>
    <pageSetUpPr fitToPage="1"/>
  </sheetPr>
  <dimension ref="A1:E55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16" customWidth="1"/>
    <col min="3" max="3" width="40" customWidth="1"/>
    <col min="4" max="4" width="20" customWidth="1"/>
    <col min="5" max="5" width="12" customWidth="1"/>
  </cols>
  <sheetData>
    <row r="1" spans="1:5" ht="27.75" customHeight="1" x14ac:dyDescent="0.2">
      <c r="A1" s="7" t="s">
        <v>25</v>
      </c>
      <c r="B1" s="7"/>
      <c r="C1" s="7"/>
      <c r="D1" s="7"/>
      <c r="E1" s="7"/>
    </row>
    <row r="2" spans="1:5" ht="25.5" customHeight="1" x14ac:dyDescent="0.2">
      <c r="A2" s="6" t="s">
        <v>26</v>
      </c>
      <c r="B2" s="6"/>
      <c r="C2" s="6"/>
      <c r="D2" s="6"/>
      <c r="E2" s="6"/>
    </row>
    <row r="3" spans="1:5" ht="33.75" customHeight="1" x14ac:dyDescent="0.2">
      <c r="A3" s="26" t="s">
        <v>27</v>
      </c>
      <c r="B3" s="26" t="s">
        <v>28</v>
      </c>
      <c r="C3" s="26" t="s">
        <v>29</v>
      </c>
      <c r="D3" s="26" t="s">
        <v>30</v>
      </c>
      <c r="E3" s="26" t="s">
        <v>31</v>
      </c>
    </row>
    <row r="4" spans="1:5" ht="15" customHeight="1" x14ac:dyDescent="0.2">
      <c r="A4" s="27">
        <v>1</v>
      </c>
      <c r="B4" s="28" t="s">
        <v>32</v>
      </c>
      <c r="C4" s="22" t="s">
        <v>33</v>
      </c>
      <c r="D4" s="29">
        <v>28</v>
      </c>
      <c r="E4" s="30">
        <v>10</v>
      </c>
    </row>
    <row r="5" spans="1:5" ht="15" customHeight="1" x14ac:dyDescent="0.2">
      <c r="A5" s="31">
        <v>2</v>
      </c>
      <c r="B5" s="32" t="s">
        <v>34</v>
      </c>
      <c r="C5" s="33" t="s">
        <v>35</v>
      </c>
      <c r="D5" s="29">
        <v>22</v>
      </c>
      <c r="E5" s="30">
        <v>8</v>
      </c>
    </row>
    <row r="6" spans="1:5" ht="15" customHeight="1" x14ac:dyDescent="0.2">
      <c r="A6" s="27">
        <v>3</v>
      </c>
      <c r="B6" s="28" t="s">
        <v>36</v>
      </c>
      <c r="C6" s="22" t="s">
        <v>37</v>
      </c>
      <c r="D6" s="29">
        <v>25</v>
      </c>
      <c r="E6" s="30">
        <v>6</v>
      </c>
    </row>
    <row r="7" spans="1:5" ht="15" customHeight="1" x14ac:dyDescent="0.2">
      <c r="A7" s="31">
        <v>4</v>
      </c>
      <c r="B7" s="32" t="s">
        <v>38</v>
      </c>
      <c r="C7" s="33" t="s">
        <v>39</v>
      </c>
      <c r="D7" s="29">
        <v>95</v>
      </c>
      <c r="E7" s="30">
        <v>4</v>
      </c>
    </row>
    <row r="8" spans="1:5" ht="15" customHeight="1" x14ac:dyDescent="0.2">
      <c r="A8" s="27">
        <v>5</v>
      </c>
      <c r="B8" s="28" t="s">
        <v>40</v>
      </c>
      <c r="C8" s="22" t="s">
        <v>41</v>
      </c>
      <c r="D8" s="29">
        <v>55</v>
      </c>
      <c r="E8" s="30">
        <v>5</v>
      </c>
    </row>
    <row r="9" spans="1:5" ht="15" customHeight="1" x14ac:dyDescent="0.2">
      <c r="A9" s="31">
        <v>6</v>
      </c>
      <c r="B9" s="32"/>
      <c r="C9" s="33"/>
      <c r="D9" s="29"/>
      <c r="E9" s="30"/>
    </row>
    <row r="10" spans="1:5" ht="15" customHeight="1" x14ac:dyDescent="0.2">
      <c r="A10" s="27">
        <v>7</v>
      </c>
      <c r="B10" s="28"/>
      <c r="C10" s="22"/>
      <c r="D10" s="29"/>
      <c r="E10" s="30"/>
    </row>
    <row r="11" spans="1:5" ht="15" customHeight="1" x14ac:dyDescent="0.2">
      <c r="A11" s="31">
        <v>8</v>
      </c>
      <c r="B11" s="32"/>
      <c r="C11" s="33"/>
      <c r="D11" s="29"/>
      <c r="E11" s="30"/>
    </row>
    <row r="12" spans="1:5" ht="15" customHeight="1" x14ac:dyDescent="0.2">
      <c r="A12" s="27">
        <v>9</v>
      </c>
      <c r="B12" s="28"/>
      <c r="C12" s="22"/>
      <c r="D12" s="29"/>
      <c r="E12" s="30"/>
    </row>
    <row r="13" spans="1:5" ht="15" customHeight="1" x14ac:dyDescent="0.2">
      <c r="A13" s="31">
        <v>10</v>
      </c>
      <c r="B13" s="32"/>
      <c r="C13" s="33"/>
      <c r="D13" s="29"/>
      <c r="E13" s="30"/>
    </row>
    <row r="14" spans="1:5" ht="15" customHeight="1" x14ac:dyDescent="0.2">
      <c r="A14" s="27">
        <v>11</v>
      </c>
      <c r="B14" s="28"/>
      <c r="C14" s="22"/>
      <c r="D14" s="29"/>
      <c r="E14" s="30"/>
    </row>
    <row r="15" spans="1:5" ht="15" customHeight="1" x14ac:dyDescent="0.2">
      <c r="A15" s="31">
        <v>12</v>
      </c>
      <c r="B15" s="32"/>
      <c r="C15" s="33"/>
      <c r="D15" s="29"/>
      <c r="E15" s="30"/>
    </row>
    <row r="16" spans="1:5" ht="15" customHeight="1" x14ac:dyDescent="0.2">
      <c r="A16" s="27">
        <v>13</v>
      </c>
      <c r="B16" s="28"/>
      <c r="C16" s="22"/>
      <c r="D16" s="29"/>
      <c r="E16" s="30"/>
    </row>
    <row r="17" spans="1:5" ht="15" customHeight="1" x14ac:dyDescent="0.2">
      <c r="A17" s="31">
        <v>14</v>
      </c>
      <c r="B17" s="32"/>
      <c r="C17" s="33"/>
      <c r="D17" s="29"/>
      <c r="E17" s="30"/>
    </row>
    <row r="18" spans="1:5" ht="15" customHeight="1" x14ac:dyDescent="0.2">
      <c r="A18" s="27">
        <v>15</v>
      </c>
      <c r="B18" s="28"/>
      <c r="C18" s="22"/>
      <c r="D18" s="29"/>
      <c r="E18" s="30"/>
    </row>
    <row r="19" spans="1:5" ht="15" customHeight="1" x14ac:dyDescent="0.2">
      <c r="A19" s="31">
        <v>16</v>
      </c>
      <c r="B19" s="32"/>
      <c r="C19" s="33"/>
      <c r="D19" s="29"/>
      <c r="E19" s="30"/>
    </row>
    <row r="20" spans="1:5" ht="15" customHeight="1" x14ac:dyDescent="0.2">
      <c r="A20" s="27">
        <v>17</v>
      </c>
      <c r="B20" s="28"/>
      <c r="C20" s="22"/>
      <c r="D20" s="29"/>
      <c r="E20" s="30"/>
    </row>
    <row r="21" spans="1:5" ht="15" customHeight="1" x14ac:dyDescent="0.2">
      <c r="A21" s="31">
        <v>18</v>
      </c>
      <c r="B21" s="32"/>
      <c r="C21" s="33"/>
      <c r="D21" s="29"/>
      <c r="E21" s="30"/>
    </row>
    <row r="22" spans="1:5" ht="15" customHeight="1" x14ac:dyDescent="0.2">
      <c r="A22" s="27">
        <v>19</v>
      </c>
      <c r="B22" s="28"/>
      <c r="C22" s="22"/>
      <c r="D22" s="29"/>
      <c r="E22" s="30"/>
    </row>
    <row r="23" spans="1:5" ht="15" customHeight="1" x14ac:dyDescent="0.2">
      <c r="A23" s="31">
        <v>20</v>
      </c>
      <c r="B23" s="32"/>
      <c r="C23" s="33"/>
      <c r="D23" s="29"/>
      <c r="E23" s="30"/>
    </row>
    <row r="24" spans="1:5" ht="15" customHeight="1" x14ac:dyDescent="0.2">
      <c r="A24" s="27">
        <v>21</v>
      </c>
      <c r="B24" s="28"/>
      <c r="C24" s="22"/>
      <c r="D24" s="29"/>
      <c r="E24" s="30"/>
    </row>
    <row r="25" spans="1:5" ht="15" customHeight="1" x14ac:dyDescent="0.2">
      <c r="A25" s="31">
        <v>22</v>
      </c>
      <c r="B25" s="32"/>
      <c r="C25" s="33"/>
      <c r="D25" s="29"/>
      <c r="E25" s="30"/>
    </row>
    <row r="26" spans="1:5" ht="15" customHeight="1" x14ac:dyDescent="0.2">
      <c r="A26" s="27">
        <v>23</v>
      </c>
      <c r="B26" s="28"/>
      <c r="C26" s="22"/>
      <c r="D26" s="29"/>
      <c r="E26" s="30"/>
    </row>
    <row r="27" spans="1:5" ht="15" customHeight="1" x14ac:dyDescent="0.2">
      <c r="A27" s="31">
        <v>24</v>
      </c>
      <c r="B27" s="32"/>
      <c r="C27" s="33"/>
      <c r="D27" s="29"/>
      <c r="E27" s="30"/>
    </row>
    <row r="28" spans="1:5" ht="15" customHeight="1" x14ac:dyDescent="0.2">
      <c r="A28" s="27">
        <v>25</v>
      </c>
      <c r="B28" s="28"/>
      <c r="C28" s="22"/>
      <c r="D28" s="29"/>
      <c r="E28" s="30"/>
    </row>
    <row r="29" spans="1:5" ht="15" customHeight="1" x14ac:dyDescent="0.2">
      <c r="A29" s="31">
        <v>26</v>
      </c>
      <c r="B29" s="32"/>
      <c r="C29" s="33"/>
      <c r="D29" s="29"/>
      <c r="E29" s="30"/>
    </row>
    <row r="30" spans="1:5" ht="15" customHeight="1" x14ac:dyDescent="0.2">
      <c r="A30" s="27">
        <v>27</v>
      </c>
      <c r="B30" s="28"/>
      <c r="C30" s="22"/>
      <c r="D30" s="29"/>
      <c r="E30" s="30"/>
    </row>
    <row r="31" spans="1:5" ht="15" customHeight="1" x14ac:dyDescent="0.2">
      <c r="A31" s="31">
        <v>28</v>
      </c>
      <c r="B31" s="32"/>
      <c r="C31" s="33"/>
      <c r="D31" s="29"/>
      <c r="E31" s="30"/>
    </row>
    <row r="32" spans="1:5" ht="15" customHeight="1" x14ac:dyDescent="0.2">
      <c r="A32" s="27">
        <v>29</v>
      </c>
      <c r="B32" s="28"/>
      <c r="C32" s="22"/>
      <c r="D32" s="29"/>
      <c r="E32" s="30"/>
    </row>
    <row r="33" spans="1:5" ht="15" customHeight="1" x14ac:dyDescent="0.2">
      <c r="A33" s="31">
        <v>30</v>
      </c>
      <c r="B33" s="32"/>
      <c r="C33" s="33"/>
      <c r="D33" s="29"/>
      <c r="E33" s="30"/>
    </row>
    <row r="34" spans="1:5" ht="15" customHeight="1" x14ac:dyDescent="0.2">
      <c r="A34" s="27">
        <v>31</v>
      </c>
      <c r="B34" s="28"/>
      <c r="C34" s="22"/>
      <c r="D34" s="29"/>
      <c r="E34" s="30"/>
    </row>
    <row r="35" spans="1:5" ht="15" customHeight="1" x14ac:dyDescent="0.2">
      <c r="A35" s="31">
        <v>32</v>
      </c>
      <c r="B35" s="32"/>
      <c r="C35" s="33"/>
      <c r="D35" s="29"/>
      <c r="E35" s="30"/>
    </row>
    <row r="36" spans="1:5" ht="15" customHeight="1" x14ac:dyDescent="0.2">
      <c r="A36" s="27">
        <v>33</v>
      </c>
      <c r="B36" s="28"/>
      <c r="C36" s="22"/>
      <c r="D36" s="29"/>
      <c r="E36" s="30"/>
    </row>
    <row r="37" spans="1:5" ht="15" customHeight="1" x14ac:dyDescent="0.2">
      <c r="A37" s="31">
        <v>34</v>
      </c>
      <c r="B37" s="32"/>
      <c r="C37" s="33"/>
      <c r="D37" s="29"/>
      <c r="E37" s="30"/>
    </row>
    <row r="38" spans="1:5" ht="15" customHeight="1" x14ac:dyDescent="0.2">
      <c r="A38" s="27">
        <v>35</v>
      </c>
      <c r="B38" s="28"/>
      <c r="C38" s="22"/>
      <c r="D38" s="29"/>
      <c r="E38" s="30"/>
    </row>
    <row r="39" spans="1:5" ht="15" customHeight="1" x14ac:dyDescent="0.2">
      <c r="A39" s="31">
        <v>36</v>
      </c>
      <c r="B39" s="32"/>
      <c r="C39" s="33"/>
      <c r="D39" s="29"/>
      <c r="E39" s="30"/>
    </row>
    <row r="40" spans="1:5" ht="15" customHeight="1" x14ac:dyDescent="0.2">
      <c r="A40" s="27">
        <v>37</v>
      </c>
      <c r="B40" s="28"/>
      <c r="C40" s="22"/>
      <c r="D40" s="29"/>
      <c r="E40" s="30"/>
    </row>
    <row r="41" spans="1:5" ht="15" customHeight="1" x14ac:dyDescent="0.2">
      <c r="A41" s="31">
        <v>38</v>
      </c>
      <c r="B41" s="32"/>
      <c r="C41" s="33"/>
      <c r="D41" s="29"/>
      <c r="E41" s="30"/>
    </row>
    <row r="42" spans="1:5" ht="15" customHeight="1" x14ac:dyDescent="0.2">
      <c r="A42" s="27">
        <v>39</v>
      </c>
      <c r="B42" s="28"/>
      <c r="C42" s="22"/>
      <c r="D42" s="29"/>
      <c r="E42" s="30"/>
    </row>
    <row r="43" spans="1:5" ht="15" customHeight="1" x14ac:dyDescent="0.2">
      <c r="A43" s="31">
        <v>40</v>
      </c>
      <c r="B43" s="32"/>
      <c r="C43" s="33"/>
      <c r="D43" s="29"/>
      <c r="E43" s="30"/>
    </row>
    <row r="44" spans="1:5" ht="15" customHeight="1" x14ac:dyDescent="0.2">
      <c r="A44" s="27">
        <v>41</v>
      </c>
      <c r="B44" s="28"/>
      <c r="C44" s="22"/>
      <c r="D44" s="29"/>
      <c r="E44" s="30"/>
    </row>
    <row r="45" spans="1:5" ht="15" customHeight="1" x14ac:dyDescent="0.2">
      <c r="A45" s="31">
        <v>42</v>
      </c>
      <c r="B45" s="32"/>
      <c r="C45" s="33"/>
      <c r="D45" s="29"/>
      <c r="E45" s="30"/>
    </row>
    <row r="46" spans="1:5" ht="15" customHeight="1" x14ac:dyDescent="0.2">
      <c r="A46" s="27">
        <v>43</v>
      </c>
      <c r="B46" s="28"/>
      <c r="C46" s="22"/>
      <c r="D46" s="29"/>
      <c r="E46" s="30"/>
    </row>
    <row r="47" spans="1:5" ht="15" customHeight="1" x14ac:dyDescent="0.2">
      <c r="A47" s="31">
        <v>44</v>
      </c>
      <c r="B47" s="32"/>
      <c r="C47" s="33"/>
      <c r="D47" s="29"/>
      <c r="E47" s="30"/>
    </row>
    <row r="48" spans="1:5" ht="15" customHeight="1" x14ac:dyDescent="0.2">
      <c r="A48" s="27">
        <v>45</v>
      </c>
      <c r="B48" s="28"/>
      <c r="C48" s="22"/>
      <c r="D48" s="29"/>
      <c r="E48" s="30"/>
    </row>
    <row r="49" spans="1:5" ht="15" customHeight="1" x14ac:dyDescent="0.2">
      <c r="A49" s="31">
        <v>46</v>
      </c>
      <c r="B49" s="32"/>
      <c r="C49" s="33"/>
      <c r="D49" s="29"/>
      <c r="E49" s="30"/>
    </row>
    <row r="50" spans="1:5" ht="15" customHeight="1" x14ac:dyDescent="0.2">
      <c r="A50" s="27">
        <v>47</v>
      </c>
      <c r="B50" s="28"/>
      <c r="C50" s="22"/>
      <c r="D50" s="29"/>
      <c r="E50" s="30"/>
    </row>
    <row r="51" spans="1:5" ht="15" customHeight="1" x14ac:dyDescent="0.2">
      <c r="A51" s="31">
        <v>48</v>
      </c>
      <c r="B51" s="32"/>
      <c r="C51" s="33"/>
      <c r="D51" s="29"/>
      <c r="E51" s="30"/>
    </row>
    <row r="52" spans="1:5" ht="15" customHeight="1" x14ac:dyDescent="0.2">
      <c r="A52" s="27">
        <v>49</v>
      </c>
      <c r="B52" s="28"/>
      <c r="C52" s="22"/>
      <c r="D52" s="29"/>
      <c r="E52" s="30"/>
    </row>
    <row r="53" spans="1:5" ht="15" customHeight="1" x14ac:dyDescent="0.2">
      <c r="A53" s="31">
        <v>50</v>
      </c>
      <c r="B53" s="32"/>
      <c r="C53" s="33"/>
      <c r="D53" s="29"/>
      <c r="E53" s="30"/>
    </row>
    <row r="54" spans="1:5" ht="15" customHeight="1" x14ac:dyDescent="0.2">
      <c r="A54" s="5" t="s">
        <v>42</v>
      </c>
      <c r="B54" s="5"/>
      <c r="C54" s="5"/>
      <c r="D54" s="34">
        <f>COUNTA(C4:C53)</f>
        <v>5</v>
      </c>
      <c r="E54" s="34">
        <f>SUM(E4:E53)</f>
        <v>33</v>
      </c>
    </row>
    <row r="55" spans="1:5" ht="15" customHeight="1" x14ac:dyDescent="0.2">
      <c r="D55" s="35" t="s">
        <v>43</v>
      </c>
      <c r="E55" s="35" t="s">
        <v>44</v>
      </c>
    </row>
  </sheetData>
  <mergeCells count="3">
    <mergeCell ref="A1:E1"/>
    <mergeCell ref="A2:E2"/>
    <mergeCell ref="A54:C54"/>
  </mergeCells>
  <dataValidations count="1">
    <dataValidation type="list" allowBlank="1" sqref="B4:B53" xr:uid="{00000000-0002-0000-0100-000000000000}">
      <formula1>"YANBAL,ESIKA,CYZONE,LBEL,NATURA,AVON,FARMASI,ORIFLAME,OTRO"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45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>
        <v>1</v>
      </c>
      <c r="B5" s="38">
        <v>1</v>
      </c>
      <c r="C5" s="39" t="s">
        <v>55</v>
      </c>
      <c r="D5" s="39" t="s">
        <v>56</v>
      </c>
      <c r="E5" s="40" t="s">
        <v>32</v>
      </c>
      <c r="F5" s="41">
        <v>25</v>
      </c>
      <c r="G5" s="38" t="s">
        <v>57</v>
      </c>
      <c r="H5" s="42" t="s">
        <v>58</v>
      </c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59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25</v>
      </c>
      <c r="B58" s="49"/>
      <c r="C58" s="50">
        <f>COUNTIF(H5:H54,"PAGADO")</f>
        <v>1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35" priority="2">
      <formula>$H5="PAGADO"</formula>
    </cfRule>
    <cfRule type="expression" dxfId="34" priority="3">
      <formula>$H5="FALTA CANCELAR"</formula>
    </cfRule>
    <cfRule type="expression" dxfId="33" priority="4">
      <formula>$H5="ADELANTO"</formula>
    </cfRule>
  </conditionalFormatting>
  <dataValidations count="4">
    <dataValidation type="list" allowBlank="1" sqref="A5:A54" xr:uid="{00000000-0002-0000-0200-000000000000}">
      <formula1>"1,2,3,4,5,6,7,8,9,10,11,12,13,14,15,16,17,18,19,20"</formula1>
      <formula2>0</formula2>
    </dataValidation>
    <dataValidation type="list" allowBlank="1" sqref="E5:E54" xr:uid="{00000000-0002-0000-0200-000001000000}">
      <formula1>"YANBAL,ESIKA,CYZONE,LBEL,NATURA,AVON,FARMASI,ORIFLAME,OTRO"</formula1>
      <formula2>0</formula2>
    </dataValidation>
    <dataValidation type="list" allowBlank="1" sqref="G5:G54" xr:uid="{00000000-0002-0000-0200-000002000000}">
      <formula1>"YAPE,PLIN,EFECTIVO,TRANSFERENCIA,MIXTO"</formula1>
      <formula2>0</formula2>
    </dataValidation>
    <dataValidation type="list" allowBlank="1" sqref="H5:H54" xr:uid="{00000000-0002-0000-02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64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32" priority="2">
      <formula>$H5="PAGADO"</formula>
    </cfRule>
    <cfRule type="expression" dxfId="31" priority="3">
      <formula>$H5="FALTA CANCELAR"</formula>
    </cfRule>
    <cfRule type="expression" dxfId="30" priority="4">
      <formula>$H5="ADELANTO"</formula>
    </cfRule>
  </conditionalFormatting>
  <dataValidations count="4">
    <dataValidation type="list" allowBlank="1" sqref="A5:A54" xr:uid="{00000000-0002-0000-0300-000000000000}">
      <formula1>"1,2,3,4,5,6,7,8,9,10,11,12,13,14,15,16,17,18,19,20"</formula1>
      <formula2>0</formula2>
    </dataValidation>
    <dataValidation type="list" allowBlank="1" sqref="E5:E54" xr:uid="{00000000-0002-0000-0300-000001000000}">
      <formula1>"YANBAL,ESIKA,CYZONE,LBEL,NATURA,AVON,FARMASI,ORIFLAME,OTRO"</formula1>
      <formula2>0</formula2>
    </dataValidation>
    <dataValidation type="list" allowBlank="1" sqref="G5:G54" xr:uid="{00000000-0002-0000-0300-000002000000}">
      <formula1>"YAPE,PLIN,EFECTIVO,TRANSFERENCIA,MIXTO"</formula1>
      <formula2>0</formula2>
    </dataValidation>
    <dataValidation type="list" allowBlank="1" sqref="H5:H54" xr:uid="{00000000-0002-0000-03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66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67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29" priority="2">
      <formula>$H5="PAGADO"</formula>
    </cfRule>
    <cfRule type="expression" dxfId="28" priority="3">
      <formula>$H5="FALTA CANCELAR"</formula>
    </cfRule>
    <cfRule type="expression" dxfId="27" priority="4">
      <formula>$H5="ADELANTO"</formula>
    </cfRule>
  </conditionalFormatting>
  <dataValidations count="4">
    <dataValidation type="list" allowBlank="1" sqref="A5:A54" xr:uid="{00000000-0002-0000-0400-000000000000}">
      <formula1>"1,2,3,4,5,6,7,8,9,10,11,12,13,14,15,16,17,18,19,20"</formula1>
      <formula2>0</formula2>
    </dataValidation>
    <dataValidation type="list" allowBlank="1" sqref="E5:E54" xr:uid="{00000000-0002-0000-0400-000001000000}">
      <formula1>"YANBAL,ESIKA,CYZONE,LBEL,NATURA,AVON,FARMASI,ORIFLAME,OTRO"</formula1>
      <formula2>0</formula2>
    </dataValidation>
    <dataValidation type="list" allowBlank="1" sqref="G5:G54" xr:uid="{00000000-0002-0000-0400-000002000000}">
      <formula1>"YAPE,PLIN,EFECTIVO,TRANSFERENCIA,MIXTO"</formula1>
      <formula2>0</formula2>
    </dataValidation>
    <dataValidation type="list" allowBlank="1" sqref="H5:H54" xr:uid="{00000000-0002-0000-04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68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69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26" priority="2">
      <formula>$H5="PAGADO"</formula>
    </cfRule>
    <cfRule type="expression" dxfId="25" priority="3">
      <formula>$H5="FALTA CANCELAR"</formula>
    </cfRule>
    <cfRule type="expression" dxfId="24" priority="4">
      <formula>$H5="ADELANTO"</formula>
    </cfRule>
  </conditionalFormatting>
  <dataValidations count="4">
    <dataValidation type="list" allowBlank="1" sqref="A5:A54" xr:uid="{00000000-0002-0000-0500-000000000000}">
      <formula1>"1,2,3,4,5,6,7,8,9,10,11,12,13,14,15,16,17,18,19,20"</formula1>
      <formula2>0</formula2>
    </dataValidation>
    <dataValidation type="list" allowBlank="1" sqref="E5:E54" xr:uid="{00000000-0002-0000-0500-000001000000}">
      <formula1>"YANBAL,ESIKA,CYZONE,LBEL,NATURA,AVON,FARMASI,ORIFLAME,OTRO"</formula1>
      <formula2>0</formula2>
    </dataValidation>
    <dataValidation type="list" allowBlank="1" sqref="G5:G54" xr:uid="{00000000-0002-0000-0500-000002000000}">
      <formula1>"YAPE,PLIN,EFECTIVO,TRANSFERENCIA,MIXTO"</formula1>
      <formula2>0</formula2>
    </dataValidation>
    <dataValidation type="list" allowBlank="1" sqref="H5:H54" xr:uid="{00000000-0002-0000-05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71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23" priority="2">
      <formula>$H5="PAGADO"</formula>
    </cfRule>
    <cfRule type="expression" dxfId="22" priority="3">
      <formula>$H5="FALTA CANCELAR"</formula>
    </cfRule>
    <cfRule type="expression" dxfId="21" priority="4">
      <formula>$H5="ADELANTO"</formula>
    </cfRule>
  </conditionalFormatting>
  <dataValidations count="4">
    <dataValidation type="list" allowBlank="1" sqref="A5:A54" xr:uid="{00000000-0002-0000-0600-000000000000}">
      <formula1>"1,2,3,4,5,6,7,8,9,10,11,12,13,14,15,16,17,18,19,20"</formula1>
      <formula2>0</formula2>
    </dataValidation>
    <dataValidation type="list" allowBlank="1" sqref="E5:E54" xr:uid="{00000000-0002-0000-0600-000001000000}">
      <formula1>"YANBAL,ESIKA,CYZONE,LBEL,NATURA,AVON,FARMASI,ORIFLAME,OTRO"</formula1>
      <formula2>0</formula2>
    </dataValidation>
    <dataValidation type="list" allowBlank="1" sqref="G5:G54" xr:uid="{00000000-0002-0000-0600-000002000000}">
      <formula1>"YAPE,PLIN,EFECTIVO,TRANSFERENCIA,MIXTO"</formula1>
      <formula2>0</formula2>
    </dataValidation>
    <dataValidation type="list" allowBlank="1" sqref="H5:H54" xr:uid="{00000000-0002-0000-06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72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73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20" priority="2">
      <formula>$H5="PAGADO"</formula>
    </cfRule>
    <cfRule type="expression" dxfId="19" priority="3">
      <formula>$H5="FALTA CANCELAR"</formula>
    </cfRule>
    <cfRule type="expression" dxfId="18" priority="4">
      <formula>$H5="ADELANTO"</formula>
    </cfRule>
  </conditionalFormatting>
  <dataValidations count="4">
    <dataValidation type="list" allowBlank="1" sqref="A5:A54" xr:uid="{00000000-0002-0000-0700-000000000000}">
      <formula1>"1,2,3,4,5,6,7,8,9,10,11,12,13,14,15,16,17,18,19,20"</formula1>
      <formula2>0</formula2>
    </dataValidation>
    <dataValidation type="list" allowBlank="1" sqref="E5:E54" xr:uid="{00000000-0002-0000-0700-000001000000}">
      <formula1>"YANBAL,ESIKA,CYZONE,LBEL,NATURA,AVON,FARMASI,ORIFLAME,OTRO"</formula1>
      <formula2>0</formula2>
    </dataValidation>
    <dataValidation type="list" allowBlank="1" sqref="G5:G54" xr:uid="{00000000-0002-0000-0700-000002000000}">
      <formula1>"YAPE,PLIN,EFECTIVO,TRANSFERENCIA,MIXTO"</formula1>
      <formula2>0</formula2>
    </dataValidation>
    <dataValidation type="list" allowBlank="1" sqref="H5:H54" xr:uid="{00000000-0002-0000-07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74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75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17" priority="2">
      <formula>$H5="PAGADO"</formula>
    </cfRule>
    <cfRule type="expression" dxfId="16" priority="3">
      <formula>$H5="FALTA CANCELAR"</formula>
    </cfRule>
    <cfRule type="expression" dxfId="15" priority="4">
      <formula>$H5="ADELANTO"</formula>
    </cfRule>
  </conditionalFormatting>
  <dataValidations count="4">
    <dataValidation type="list" allowBlank="1" sqref="A5:A54" xr:uid="{00000000-0002-0000-0800-000000000000}">
      <formula1>"1,2,3,4,5,6,7,8,9,10,11,12,13,14,15,16,17,18,19,20"</formula1>
      <formula2>0</formula2>
    </dataValidation>
    <dataValidation type="list" allowBlank="1" sqref="E5:E54" xr:uid="{00000000-0002-0000-0800-000001000000}">
      <formula1>"YANBAL,ESIKA,CYZONE,LBEL,NATURA,AVON,FARMASI,ORIFLAME,OTRO"</formula1>
      <formula2>0</formula2>
    </dataValidation>
    <dataValidation type="list" allowBlank="1" sqref="G5:G54" xr:uid="{00000000-0002-0000-0800-000002000000}">
      <formula1>"YAPE,PLIN,EFECTIVO,TRANSFERENCIA,MIXTO"</formula1>
      <formula2>0</formula2>
    </dataValidation>
    <dataValidation type="list" allowBlank="1" sqref="H5:H54" xr:uid="{00000000-0002-0000-08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76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77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14" priority="2">
      <formula>$H5="PAGADO"</formula>
    </cfRule>
    <cfRule type="expression" dxfId="13" priority="3">
      <formula>$H5="FALTA CANCELAR"</formula>
    </cfRule>
    <cfRule type="expression" dxfId="12" priority="4">
      <formula>$H5="ADELANTO"</formula>
    </cfRule>
  </conditionalFormatting>
  <dataValidations count="4">
    <dataValidation type="list" allowBlank="1" sqref="A5:A54" xr:uid="{00000000-0002-0000-0900-000000000000}">
      <formula1>"1,2,3,4,5,6,7,8,9,10,11,12,13,14,15,16,17,18,19,20"</formula1>
      <formula2>0</formula2>
    </dataValidation>
    <dataValidation type="list" allowBlank="1" sqref="E5:E54" xr:uid="{00000000-0002-0000-0900-000001000000}">
      <formula1>"YANBAL,ESIKA,CYZONE,LBEL,NATURA,AVON,FARMASI,ORIFLAME,OTRO"</formula1>
      <formula2>0</formula2>
    </dataValidation>
    <dataValidation type="list" allowBlank="1" sqref="G5:G54" xr:uid="{00000000-0002-0000-0900-000002000000}">
      <formula1>"YAPE,PLIN,EFECTIVO,TRANSFERENCIA,MIXTO"</formula1>
      <formula2>0</formula2>
    </dataValidation>
    <dataValidation type="list" allowBlank="1" sqref="H5:H54" xr:uid="{00000000-0002-0000-09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78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79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11" priority="2">
      <formula>$H5="PAGADO"</formula>
    </cfRule>
    <cfRule type="expression" dxfId="10" priority="3">
      <formula>$H5="FALTA CANCELAR"</formula>
    </cfRule>
    <cfRule type="expression" dxfId="9" priority="4">
      <formula>$H5="ADELANTO"</formula>
    </cfRule>
  </conditionalFormatting>
  <dataValidations count="4">
    <dataValidation type="list" allowBlank="1" sqref="A5:A54" xr:uid="{00000000-0002-0000-0A00-000000000000}">
      <formula1>"1,2,3,4,5,6,7,8,9,10,11,12,13,14,15,16,17,18,19,20"</formula1>
      <formula2>0</formula2>
    </dataValidation>
    <dataValidation type="list" allowBlank="1" sqref="E5:E54" xr:uid="{00000000-0002-0000-0A00-000001000000}">
      <formula1>"YANBAL,ESIKA,CYZONE,LBEL,NATURA,AVON,FARMASI,ORIFLAME,OTRO"</formula1>
      <formula2>0</formula2>
    </dataValidation>
    <dataValidation type="list" allowBlank="1" sqref="G5:G54" xr:uid="{00000000-0002-0000-0A00-000002000000}">
      <formula1>"YAPE,PLIN,EFECTIVO,TRANSFERENCIA,MIXTO"</formula1>
      <formula2>0</formula2>
    </dataValidation>
    <dataValidation type="list" allowBlank="1" sqref="H5:H54" xr:uid="{00000000-0002-0000-0A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80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81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8" priority="2">
      <formula>$H5="PAGADO"</formula>
    </cfRule>
    <cfRule type="expression" dxfId="7" priority="3">
      <formula>$H5="FALTA CANCELAR"</formula>
    </cfRule>
    <cfRule type="expression" dxfId="6" priority="4">
      <formula>$H5="ADELANTO"</formula>
    </cfRule>
  </conditionalFormatting>
  <dataValidations count="4">
    <dataValidation type="list" allowBlank="1" sqref="A5:A54" xr:uid="{00000000-0002-0000-0B00-000000000000}">
      <formula1>"1,2,3,4,5,6,7,8,9,10,11,12,13,14,15,16,17,18,19,20"</formula1>
      <formula2>0</formula2>
    </dataValidation>
    <dataValidation type="list" allowBlank="1" sqref="E5:E54" xr:uid="{00000000-0002-0000-0B00-000001000000}">
      <formula1>"YANBAL,ESIKA,CYZONE,LBEL,NATURA,AVON,FARMASI,ORIFLAME,OTRO"</formula1>
      <formula2>0</formula2>
    </dataValidation>
    <dataValidation type="list" allowBlank="1" sqref="G5:G54" xr:uid="{00000000-0002-0000-0B00-000002000000}">
      <formula1>"YAPE,PLIN,EFECTIVO,TRANSFERENCIA,MIXTO"</formula1>
      <formula2>0</formula2>
    </dataValidation>
    <dataValidation type="list" allowBlank="1" sqref="H5:H54" xr:uid="{00000000-0002-0000-0B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82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83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5" priority="2">
      <formula>$H5="PAGADO"</formula>
    </cfRule>
    <cfRule type="expression" dxfId="4" priority="3">
      <formula>$H5="FALTA CANCELAR"</formula>
    </cfRule>
    <cfRule type="expression" dxfId="3" priority="4">
      <formula>$H5="ADELANTO"</formula>
    </cfRule>
  </conditionalFormatting>
  <dataValidations count="4">
    <dataValidation type="list" allowBlank="1" sqref="A5:A54" xr:uid="{00000000-0002-0000-0C00-000000000000}">
      <formula1>"1,2,3,4,5,6,7,8,9,10,11,12,13,14,15,16,17,18,19,20"</formula1>
      <formula2>0</formula2>
    </dataValidation>
    <dataValidation type="list" allowBlank="1" sqref="E5:E54" xr:uid="{00000000-0002-0000-0C00-000001000000}">
      <formula1>"YANBAL,ESIKA,CYZONE,LBEL,NATURA,AVON,FARMASI,ORIFLAME,OTRO"</formula1>
      <formula2>0</formula2>
    </dataValidation>
    <dataValidation type="list" allowBlank="1" sqref="G5:G54" xr:uid="{00000000-0002-0000-0C00-000002000000}">
      <formula1>"YAPE,PLIN,EFECTIVO,TRANSFERENCIA,MIXTO"</formula1>
      <formula2>0</formula2>
    </dataValidation>
    <dataValidation type="list" allowBlank="1" sqref="H5:H54" xr:uid="{00000000-0002-0000-0C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39DDB"/>
    <pageSetUpPr fitToPage="1"/>
  </sheetPr>
  <dimension ref="A1:J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</cols>
  <sheetData>
    <row r="1" spans="1:10" ht="27.75" customHeight="1" x14ac:dyDescent="0.2">
      <c r="A1" s="7" t="s">
        <v>84</v>
      </c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 x14ac:dyDescent="0.2">
      <c r="A3" s="3" t="s">
        <v>47</v>
      </c>
      <c r="B3" s="3"/>
      <c r="C3" s="3"/>
      <c r="D3" s="3"/>
      <c r="E3" s="3"/>
      <c r="F3" s="3"/>
      <c r="G3" s="3"/>
      <c r="H3" s="3"/>
      <c r="I3" s="3"/>
      <c r="J3" s="3"/>
    </row>
    <row r="4" spans="1:10" ht="33.75" customHeight="1" x14ac:dyDescent="0.2">
      <c r="A4" s="36" t="s">
        <v>48</v>
      </c>
      <c r="B4" s="26" t="s">
        <v>27</v>
      </c>
      <c r="C4" s="26" t="s">
        <v>49</v>
      </c>
      <c r="D4" s="26" t="s">
        <v>29</v>
      </c>
      <c r="E4" s="26" t="s">
        <v>28</v>
      </c>
      <c r="F4" s="36" t="s">
        <v>50</v>
      </c>
      <c r="G4" s="26" t="s">
        <v>51</v>
      </c>
      <c r="H4" s="26" t="s">
        <v>52</v>
      </c>
      <c r="I4" s="26" t="s">
        <v>53</v>
      </c>
      <c r="J4" s="26" t="s">
        <v>54</v>
      </c>
    </row>
    <row r="5" spans="1:10" ht="15" customHeight="1" x14ac:dyDescent="0.2">
      <c r="A5" s="37"/>
      <c r="B5" s="38">
        <v>1</v>
      </c>
      <c r="C5" s="39"/>
      <c r="D5" s="39"/>
      <c r="E5" s="40"/>
      <c r="F5" s="41"/>
      <c r="G5" s="38"/>
      <c r="H5" s="42"/>
      <c r="I5" s="41"/>
      <c r="J5" s="39"/>
    </row>
    <row r="6" spans="1:10" ht="15" customHeight="1" x14ac:dyDescent="0.2">
      <c r="A6" s="37"/>
      <c r="B6" s="43">
        <v>2</v>
      </c>
      <c r="C6" s="44"/>
      <c r="D6" s="44"/>
      <c r="E6" s="45"/>
      <c r="F6" s="41"/>
      <c r="G6" s="43"/>
      <c r="H6" s="46"/>
      <c r="I6" s="41"/>
      <c r="J6" s="44"/>
    </row>
    <row r="7" spans="1:10" ht="15" customHeight="1" x14ac:dyDescent="0.2">
      <c r="A7" s="37"/>
      <c r="B7" s="38">
        <v>3</v>
      </c>
      <c r="C7" s="39"/>
      <c r="D7" s="39"/>
      <c r="E7" s="40"/>
      <c r="F7" s="41"/>
      <c r="G7" s="38"/>
      <c r="H7" s="42"/>
      <c r="I7" s="41"/>
      <c r="J7" s="39"/>
    </row>
    <row r="8" spans="1:10" ht="15" customHeight="1" x14ac:dyDescent="0.2">
      <c r="A8" s="37"/>
      <c r="B8" s="43">
        <v>4</v>
      </c>
      <c r="C8" s="44"/>
      <c r="D8" s="44"/>
      <c r="E8" s="45"/>
      <c r="F8" s="41"/>
      <c r="G8" s="43"/>
      <c r="H8" s="46"/>
      <c r="I8" s="41"/>
      <c r="J8" s="44"/>
    </row>
    <row r="9" spans="1:10" ht="15" customHeight="1" x14ac:dyDescent="0.2">
      <c r="A9" s="37"/>
      <c r="B9" s="38">
        <v>5</v>
      </c>
      <c r="C9" s="39"/>
      <c r="D9" s="39"/>
      <c r="E9" s="40"/>
      <c r="F9" s="41"/>
      <c r="G9" s="38"/>
      <c r="H9" s="42"/>
      <c r="I9" s="41"/>
      <c r="J9" s="39"/>
    </row>
    <row r="10" spans="1:10" ht="15" customHeight="1" x14ac:dyDescent="0.2">
      <c r="A10" s="37"/>
      <c r="B10" s="43">
        <v>6</v>
      </c>
      <c r="C10" s="44"/>
      <c r="D10" s="44"/>
      <c r="E10" s="45"/>
      <c r="F10" s="41"/>
      <c r="G10" s="43"/>
      <c r="H10" s="46"/>
      <c r="I10" s="41"/>
      <c r="J10" s="44"/>
    </row>
    <row r="11" spans="1:10" ht="15" customHeight="1" x14ac:dyDescent="0.2">
      <c r="A11" s="37"/>
      <c r="B11" s="38">
        <v>7</v>
      </c>
      <c r="C11" s="39"/>
      <c r="D11" s="39"/>
      <c r="E11" s="40"/>
      <c r="F11" s="41"/>
      <c r="G11" s="38"/>
      <c r="H11" s="42"/>
      <c r="I11" s="41"/>
      <c r="J11" s="39"/>
    </row>
    <row r="12" spans="1:10" ht="15" customHeight="1" x14ac:dyDescent="0.2">
      <c r="A12" s="37"/>
      <c r="B12" s="43">
        <v>8</v>
      </c>
      <c r="C12" s="44"/>
      <c r="D12" s="44"/>
      <c r="E12" s="45"/>
      <c r="F12" s="41"/>
      <c r="G12" s="43"/>
      <c r="H12" s="46"/>
      <c r="I12" s="41"/>
      <c r="J12" s="44"/>
    </row>
    <row r="13" spans="1:10" ht="15" customHeight="1" x14ac:dyDescent="0.2">
      <c r="A13" s="37"/>
      <c r="B13" s="38">
        <v>9</v>
      </c>
      <c r="C13" s="39"/>
      <c r="D13" s="39"/>
      <c r="E13" s="40"/>
      <c r="F13" s="41"/>
      <c r="G13" s="38"/>
      <c r="H13" s="42"/>
      <c r="I13" s="41"/>
      <c r="J13" s="39"/>
    </row>
    <row r="14" spans="1:10" ht="15" customHeight="1" x14ac:dyDescent="0.2">
      <c r="A14" s="37"/>
      <c r="B14" s="43">
        <v>10</v>
      </c>
      <c r="C14" s="44"/>
      <c r="D14" s="44"/>
      <c r="E14" s="45"/>
      <c r="F14" s="41"/>
      <c r="G14" s="43"/>
      <c r="H14" s="46"/>
      <c r="I14" s="41"/>
      <c r="J14" s="44"/>
    </row>
    <row r="15" spans="1:10" ht="15" customHeight="1" x14ac:dyDescent="0.2">
      <c r="A15" s="37"/>
      <c r="B15" s="38">
        <v>11</v>
      </c>
      <c r="C15" s="39"/>
      <c r="D15" s="39"/>
      <c r="E15" s="40"/>
      <c r="F15" s="41"/>
      <c r="G15" s="38"/>
      <c r="H15" s="42"/>
      <c r="I15" s="41"/>
      <c r="J15" s="39"/>
    </row>
    <row r="16" spans="1:10" ht="15" customHeight="1" x14ac:dyDescent="0.2">
      <c r="A16" s="37"/>
      <c r="B16" s="43">
        <v>12</v>
      </c>
      <c r="C16" s="44"/>
      <c r="D16" s="44"/>
      <c r="E16" s="45"/>
      <c r="F16" s="41"/>
      <c r="G16" s="43"/>
      <c r="H16" s="46"/>
      <c r="I16" s="41"/>
      <c r="J16" s="44"/>
    </row>
    <row r="17" spans="1:10" ht="15" customHeight="1" x14ac:dyDescent="0.2">
      <c r="A17" s="37"/>
      <c r="B17" s="38">
        <v>13</v>
      </c>
      <c r="C17" s="39"/>
      <c r="D17" s="39"/>
      <c r="E17" s="40"/>
      <c r="F17" s="41"/>
      <c r="G17" s="38"/>
      <c r="H17" s="42"/>
      <c r="I17" s="41"/>
      <c r="J17" s="39"/>
    </row>
    <row r="18" spans="1:10" ht="15" customHeight="1" x14ac:dyDescent="0.2">
      <c r="A18" s="37"/>
      <c r="B18" s="43">
        <v>14</v>
      </c>
      <c r="C18" s="44"/>
      <c r="D18" s="44"/>
      <c r="E18" s="45"/>
      <c r="F18" s="41"/>
      <c r="G18" s="43"/>
      <c r="H18" s="46"/>
      <c r="I18" s="41"/>
      <c r="J18" s="44"/>
    </row>
    <row r="19" spans="1:10" ht="15" customHeight="1" x14ac:dyDescent="0.2">
      <c r="A19" s="37"/>
      <c r="B19" s="38">
        <v>15</v>
      </c>
      <c r="C19" s="39"/>
      <c r="D19" s="39"/>
      <c r="E19" s="40"/>
      <c r="F19" s="41"/>
      <c r="G19" s="38"/>
      <c r="H19" s="42"/>
      <c r="I19" s="41"/>
      <c r="J19" s="39"/>
    </row>
    <row r="20" spans="1:10" ht="15" customHeight="1" x14ac:dyDescent="0.2">
      <c r="A20" s="37"/>
      <c r="B20" s="43">
        <v>16</v>
      </c>
      <c r="C20" s="44"/>
      <c r="D20" s="44"/>
      <c r="E20" s="45"/>
      <c r="F20" s="41"/>
      <c r="G20" s="43"/>
      <c r="H20" s="46"/>
      <c r="I20" s="41"/>
      <c r="J20" s="44"/>
    </row>
    <row r="21" spans="1:10" ht="15" customHeight="1" x14ac:dyDescent="0.2">
      <c r="A21" s="37"/>
      <c r="B21" s="38">
        <v>17</v>
      </c>
      <c r="C21" s="39"/>
      <c r="D21" s="39"/>
      <c r="E21" s="40"/>
      <c r="F21" s="41"/>
      <c r="G21" s="38"/>
      <c r="H21" s="42"/>
      <c r="I21" s="41"/>
      <c r="J21" s="39"/>
    </row>
    <row r="22" spans="1:10" ht="15" customHeight="1" x14ac:dyDescent="0.2">
      <c r="A22" s="37"/>
      <c r="B22" s="43">
        <v>18</v>
      </c>
      <c r="C22" s="44"/>
      <c r="D22" s="44"/>
      <c r="E22" s="45"/>
      <c r="F22" s="41"/>
      <c r="G22" s="43"/>
      <c r="H22" s="46"/>
      <c r="I22" s="41"/>
      <c r="J22" s="44"/>
    </row>
    <row r="23" spans="1:10" ht="15" customHeight="1" x14ac:dyDescent="0.2">
      <c r="A23" s="37"/>
      <c r="B23" s="38">
        <v>19</v>
      </c>
      <c r="C23" s="39"/>
      <c r="D23" s="39"/>
      <c r="E23" s="40"/>
      <c r="F23" s="41"/>
      <c r="G23" s="38"/>
      <c r="H23" s="42"/>
      <c r="I23" s="41"/>
      <c r="J23" s="39"/>
    </row>
    <row r="24" spans="1:10" ht="15" customHeight="1" x14ac:dyDescent="0.2">
      <c r="A24" s="37"/>
      <c r="B24" s="43">
        <v>20</v>
      </c>
      <c r="C24" s="44"/>
      <c r="D24" s="44"/>
      <c r="E24" s="45"/>
      <c r="F24" s="41"/>
      <c r="G24" s="43"/>
      <c r="H24" s="46"/>
      <c r="I24" s="41"/>
      <c r="J24" s="44"/>
    </row>
    <row r="25" spans="1:10" ht="15" customHeight="1" x14ac:dyDescent="0.2">
      <c r="A25" s="37"/>
      <c r="B25" s="38">
        <v>21</v>
      </c>
      <c r="C25" s="39"/>
      <c r="D25" s="39"/>
      <c r="E25" s="40"/>
      <c r="F25" s="41"/>
      <c r="G25" s="38"/>
      <c r="H25" s="42"/>
      <c r="I25" s="41"/>
      <c r="J25" s="39"/>
    </row>
    <row r="26" spans="1:10" ht="15" customHeight="1" x14ac:dyDescent="0.2">
      <c r="A26" s="37"/>
      <c r="B26" s="43">
        <v>22</v>
      </c>
      <c r="C26" s="44"/>
      <c r="D26" s="44"/>
      <c r="E26" s="45"/>
      <c r="F26" s="41"/>
      <c r="G26" s="43"/>
      <c r="H26" s="46"/>
      <c r="I26" s="41"/>
      <c r="J26" s="44"/>
    </row>
    <row r="27" spans="1:10" ht="15" customHeight="1" x14ac:dyDescent="0.2">
      <c r="A27" s="37"/>
      <c r="B27" s="38">
        <v>23</v>
      </c>
      <c r="C27" s="39"/>
      <c r="D27" s="39"/>
      <c r="E27" s="40"/>
      <c r="F27" s="41"/>
      <c r="G27" s="38"/>
      <c r="H27" s="42"/>
      <c r="I27" s="41"/>
      <c r="J27" s="39"/>
    </row>
    <row r="28" spans="1:10" ht="15" customHeight="1" x14ac:dyDescent="0.2">
      <c r="A28" s="37"/>
      <c r="B28" s="43">
        <v>24</v>
      </c>
      <c r="C28" s="44"/>
      <c r="D28" s="44"/>
      <c r="E28" s="45"/>
      <c r="F28" s="41"/>
      <c r="G28" s="43"/>
      <c r="H28" s="46"/>
      <c r="I28" s="41"/>
      <c r="J28" s="44"/>
    </row>
    <row r="29" spans="1:10" ht="15" customHeight="1" x14ac:dyDescent="0.2">
      <c r="A29" s="37"/>
      <c r="B29" s="38">
        <v>25</v>
      </c>
      <c r="C29" s="39"/>
      <c r="D29" s="39"/>
      <c r="E29" s="40"/>
      <c r="F29" s="41"/>
      <c r="G29" s="38"/>
      <c r="H29" s="42"/>
      <c r="I29" s="41"/>
      <c r="J29" s="39"/>
    </row>
    <row r="30" spans="1:10" ht="15" customHeight="1" x14ac:dyDescent="0.2">
      <c r="A30" s="37"/>
      <c r="B30" s="43">
        <v>26</v>
      </c>
      <c r="C30" s="44"/>
      <c r="D30" s="44"/>
      <c r="E30" s="45"/>
      <c r="F30" s="41"/>
      <c r="G30" s="43"/>
      <c r="H30" s="46"/>
      <c r="I30" s="41"/>
      <c r="J30" s="44"/>
    </row>
    <row r="31" spans="1:10" ht="15" customHeight="1" x14ac:dyDescent="0.2">
      <c r="A31" s="37"/>
      <c r="B31" s="38">
        <v>27</v>
      </c>
      <c r="C31" s="39"/>
      <c r="D31" s="39"/>
      <c r="E31" s="40"/>
      <c r="F31" s="41"/>
      <c r="G31" s="38"/>
      <c r="H31" s="42"/>
      <c r="I31" s="41"/>
      <c r="J31" s="39"/>
    </row>
    <row r="32" spans="1:10" ht="15" customHeight="1" x14ac:dyDescent="0.2">
      <c r="A32" s="37"/>
      <c r="B32" s="43">
        <v>28</v>
      </c>
      <c r="C32" s="44"/>
      <c r="D32" s="44"/>
      <c r="E32" s="45"/>
      <c r="F32" s="41"/>
      <c r="G32" s="43"/>
      <c r="H32" s="46"/>
      <c r="I32" s="41"/>
      <c r="J32" s="44"/>
    </row>
    <row r="33" spans="1:10" ht="15" customHeight="1" x14ac:dyDescent="0.2">
      <c r="A33" s="37"/>
      <c r="B33" s="38">
        <v>29</v>
      </c>
      <c r="C33" s="39"/>
      <c r="D33" s="39"/>
      <c r="E33" s="40"/>
      <c r="F33" s="41"/>
      <c r="G33" s="38"/>
      <c r="H33" s="42"/>
      <c r="I33" s="41"/>
      <c r="J33" s="39"/>
    </row>
    <row r="34" spans="1:10" ht="15" customHeight="1" x14ac:dyDescent="0.2">
      <c r="A34" s="37"/>
      <c r="B34" s="43">
        <v>30</v>
      </c>
      <c r="C34" s="44"/>
      <c r="D34" s="44"/>
      <c r="E34" s="45"/>
      <c r="F34" s="41"/>
      <c r="G34" s="43"/>
      <c r="H34" s="46"/>
      <c r="I34" s="41"/>
      <c r="J34" s="44"/>
    </row>
    <row r="35" spans="1:10" ht="15" customHeight="1" x14ac:dyDescent="0.2">
      <c r="A35" s="37"/>
      <c r="B35" s="38">
        <v>31</v>
      </c>
      <c r="C35" s="39"/>
      <c r="D35" s="39"/>
      <c r="E35" s="40"/>
      <c r="F35" s="41"/>
      <c r="G35" s="38"/>
      <c r="H35" s="42"/>
      <c r="I35" s="41"/>
      <c r="J35" s="39"/>
    </row>
    <row r="36" spans="1:10" ht="15" customHeight="1" x14ac:dyDescent="0.2">
      <c r="A36" s="37"/>
      <c r="B36" s="43">
        <v>32</v>
      </c>
      <c r="C36" s="44"/>
      <c r="D36" s="44"/>
      <c r="E36" s="45"/>
      <c r="F36" s="41"/>
      <c r="G36" s="43"/>
      <c r="H36" s="46"/>
      <c r="I36" s="41"/>
      <c r="J36" s="44"/>
    </row>
    <row r="37" spans="1:10" ht="15" customHeight="1" x14ac:dyDescent="0.2">
      <c r="A37" s="37"/>
      <c r="B37" s="38">
        <v>33</v>
      </c>
      <c r="C37" s="39"/>
      <c r="D37" s="39"/>
      <c r="E37" s="40"/>
      <c r="F37" s="41"/>
      <c r="G37" s="38"/>
      <c r="H37" s="42"/>
      <c r="I37" s="41"/>
      <c r="J37" s="39"/>
    </row>
    <row r="38" spans="1:10" ht="15" customHeight="1" x14ac:dyDescent="0.2">
      <c r="A38" s="37"/>
      <c r="B38" s="43">
        <v>34</v>
      </c>
      <c r="C38" s="44"/>
      <c r="D38" s="44"/>
      <c r="E38" s="45"/>
      <c r="F38" s="41"/>
      <c r="G38" s="43"/>
      <c r="H38" s="46"/>
      <c r="I38" s="41"/>
      <c r="J38" s="44"/>
    </row>
    <row r="39" spans="1:10" ht="15" customHeight="1" x14ac:dyDescent="0.2">
      <c r="A39" s="37"/>
      <c r="B39" s="38">
        <v>35</v>
      </c>
      <c r="C39" s="39"/>
      <c r="D39" s="39"/>
      <c r="E39" s="40"/>
      <c r="F39" s="41"/>
      <c r="G39" s="38"/>
      <c r="H39" s="42"/>
      <c r="I39" s="41"/>
      <c r="J39" s="39"/>
    </row>
    <row r="40" spans="1:10" ht="15" customHeight="1" x14ac:dyDescent="0.2">
      <c r="A40" s="37"/>
      <c r="B40" s="43">
        <v>36</v>
      </c>
      <c r="C40" s="44"/>
      <c r="D40" s="44"/>
      <c r="E40" s="45"/>
      <c r="F40" s="41"/>
      <c r="G40" s="43"/>
      <c r="H40" s="46"/>
      <c r="I40" s="41"/>
      <c r="J40" s="44"/>
    </row>
    <row r="41" spans="1:10" ht="15" customHeight="1" x14ac:dyDescent="0.2">
      <c r="A41" s="37"/>
      <c r="B41" s="38">
        <v>37</v>
      </c>
      <c r="C41" s="39"/>
      <c r="D41" s="39"/>
      <c r="E41" s="40"/>
      <c r="F41" s="41"/>
      <c r="G41" s="38"/>
      <c r="H41" s="42"/>
      <c r="I41" s="41"/>
      <c r="J41" s="39"/>
    </row>
    <row r="42" spans="1:10" ht="15" customHeight="1" x14ac:dyDescent="0.2">
      <c r="A42" s="37"/>
      <c r="B42" s="43">
        <v>38</v>
      </c>
      <c r="C42" s="44"/>
      <c r="D42" s="44"/>
      <c r="E42" s="45"/>
      <c r="F42" s="41"/>
      <c r="G42" s="43"/>
      <c r="H42" s="46"/>
      <c r="I42" s="41"/>
      <c r="J42" s="44"/>
    </row>
    <row r="43" spans="1:10" ht="15" customHeight="1" x14ac:dyDescent="0.2">
      <c r="A43" s="37"/>
      <c r="B43" s="38">
        <v>39</v>
      </c>
      <c r="C43" s="39"/>
      <c r="D43" s="39"/>
      <c r="E43" s="40"/>
      <c r="F43" s="41"/>
      <c r="G43" s="38"/>
      <c r="H43" s="42"/>
      <c r="I43" s="41"/>
      <c r="J43" s="39"/>
    </row>
    <row r="44" spans="1:10" ht="15" customHeight="1" x14ac:dyDescent="0.2">
      <c r="A44" s="37"/>
      <c r="B44" s="43">
        <v>40</v>
      </c>
      <c r="C44" s="44"/>
      <c r="D44" s="44"/>
      <c r="E44" s="45"/>
      <c r="F44" s="41"/>
      <c r="G44" s="43"/>
      <c r="H44" s="46"/>
      <c r="I44" s="41"/>
      <c r="J44" s="44"/>
    </row>
    <row r="45" spans="1:10" ht="15" customHeight="1" x14ac:dyDescent="0.2">
      <c r="A45" s="37"/>
      <c r="B45" s="38">
        <v>41</v>
      </c>
      <c r="C45" s="39"/>
      <c r="D45" s="39"/>
      <c r="E45" s="40"/>
      <c r="F45" s="41"/>
      <c r="G45" s="38"/>
      <c r="H45" s="42"/>
      <c r="I45" s="41"/>
      <c r="J45" s="39"/>
    </row>
    <row r="46" spans="1:10" ht="15" customHeight="1" x14ac:dyDescent="0.2">
      <c r="A46" s="37"/>
      <c r="B46" s="43">
        <v>42</v>
      </c>
      <c r="C46" s="44"/>
      <c r="D46" s="44"/>
      <c r="E46" s="45"/>
      <c r="F46" s="41"/>
      <c r="G46" s="43"/>
      <c r="H46" s="46"/>
      <c r="I46" s="41"/>
      <c r="J46" s="44"/>
    </row>
    <row r="47" spans="1:10" ht="15" customHeight="1" x14ac:dyDescent="0.2">
      <c r="A47" s="37"/>
      <c r="B47" s="38">
        <v>43</v>
      </c>
      <c r="C47" s="39"/>
      <c r="D47" s="39"/>
      <c r="E47" s="40"/>
      <c r="F47" s="41"/>
      <c r="G47" s="38"/>
      <c r="H47" s="42"/>
      <c r="I47" s="41"/>
      <c r="J47" s="39"/>
    </row>
    <row r="48" spans="1:10" ht="15" customHeight="1" x14ac:dyDescent="0.2">
      <c r="A48" s="37"/>
      <c r="B48" s="43">
        <v>44</v>
      </c>
      <c r="C48" s="44"/>
      <c r="D48" s="44"/>
      <c r="E48" s="45"/>
      <c r="F48" s="41"/>
      <c r="G48" s="43"/>
      <c r="H48" s="46"/>
      <c r="I48" s="41"/>
      <c r="J48" s="44"/>
    </row>
    <row r="49" spans="1:10" ht="15" customHeight="1" x14ac:dyDescent="0.2">
      <c r="A49" s="37"/>
      <c r="B49" s="38">
        <v>45</v>
      </c>
      <c r="C49" s="39"/>
      <c r="D49" s="39"/>
      <c r="E49" s="40"/>
      <c r="F49" s="41"/>
      <c r="G49" s="38"/>
      <c r="H49" s="42"/>
      <c r="I49" s="41"/>
      <c r="J49" s="39"/>
    </row>
    <row r="50" spans="1:10" ht="15" customHeight="1" x14ac:dyDescent="0.2">
      <c r="A50" s="37"/>
      <c r="B50" s="43">
        <v>46</v>
      </c>
      <c r="C50" s="44"/>
      <c r="D50" s="44"/>
      <c r="E50" s="45"/>
      <c r="F50" s="41"/>
      <c r="G50" s="43"/>
      <c r="H50" s="46"/>
      <c r="I50" s="41"/>
      <c r="J50" s="44"/>
    </row>
    <row r="51" spans="1:10" ht="15" customHeight="1" x14ac:dyDescent="0.2">
      <c r="A51" s="37"/>
      <c r="B51" s="38">
        <v>47</v>
      </c>
      <c r="C51" s="39"/>
      <c r="D51" s="39"/>
      <c r="E51" s="40"/>
      <c r="F51" s="41"/>
      <c r="G51" s="38"/>
      <c r="H51" s="42"/>
      <c r="I51" s="41"/>
      <c r="J51" s="39"/>
    </row>
    <row r="52" spans="1:10" ht="15" customHeight="1" x14ac:dyDescent="0.2">
      <c r="A52" s="37"/>
      <c r="B52" s="43">
        <v>48</v>
      </c>
      <c r="C52" s="44"/>
      <c r="D52" s="44"/>
      <c r="E52" s="45"/>
      <c r="F52" s="41"/>
      <c r="G52" s="43"/>
      <c r="H52" s="46"/>
      <c r="I52" s="41"/>
      <c r="J52" s="44"/>
    </row>
    <row r="53" spans="1:10" ht="15" customHeight="1" x14ac:dyDescent="0.2">
      <c r="A53" s="37"/>
      <c r="B53" s="38">
        <v>49</v>
      </c>
      <c r="C53" s="39"/>
      <c r="D53" s="39"/>
      <c r="E53" s="40"/>
      <c r="F53" s="41"/>
      <c r="G53" s="38"/>
      <c r="H53" s="42"/>
      <c r="I53" s="41"/>
      <c r="J53" s="39"/>
    </row>
    <row r="54" spans="1:10" ht="15" customHeight="1" x14ac:dyDescent="0.2">
      <c r="A54" s="37"/>
      <c r="B54" s="43">
        <v>50</v>
      </c>
      <c r="C54" s="44"/>
      <c r="D54" s="44"/>
      <c r="E54" s="45"/>
      <c r="F54" s="41"/>
      <c r="G54" s="43"/>
      <c r="H54" s="46"/>
      <c r="I54" s="41"/>
      <c r="J54" s="44"/>
    </row>
    <row r="56" spans="1:10" ht="24" customHeight="1" x14ac:dyDescent="0.2">
      <c r="A56" s="2" t="s">
        <v>85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23.25" customHeight="1" x14ac:dyDescent="0.2">
      <c r="A57" s="1" t="s">
        <v>60</v>
      </c>
      <c r="B57" s="1"/>
      <c r="C57" s="1" t="s">
        <v>61</v>
      </c>
      <c r="D57" s="1"/>
      <c r="E57" s="47" t="s">
        <v>62</v>
      </c>
      <c r="F57" s="47"/>
      <c r="G57" s="48" t="s">
        <v>63</v>
      </c>
      <c r="H57" s="48"/>
    </row>
    <row r="58" spans="1:10" ht="25.5" customHeight="1" x14ac:dyDescent="0.2">
      <c r="A58" s="49">
        <f>SUM(F5:F54)</f>
        <v>0</v>
      </c>
      <c r="B58" s="49"/>
      <c r="C58" s="50">
        <f>COUNTIF(H5:H54,"PAGADO")</f>
        <v>0</v>
      </c>
      <c r="D58" s="50"/>
      <c r="E58" s="51">
        <f>COUNTIF(H5:H54,"FALTA CANCELAR")</f>
        <v>0</v>
      </c>
      <c r="F58" s="51"/>
      <c r="G58" s="52">
        <f>SUM(I5:I54)</f>
        <v>0</v>
      </c>
      <c r="H58" s="52"/>
    </row>
  </sheetData>
  <mergeCells count="12">
    <mergeCell ref="A58:B58"/>
    <mergeCell ref="C58:D58"/>
    <mergeCell ref="E58:F58"/>
    <mergeCell ref="G58:H58"/>
    <mergeCell ref="A1:J1"/>
    <mergeCell ref="A2:J2"/>
    <mergeCell ref="A3:J3"/>
    <mergeCell ref="A56:J56"/>
    <mergeCell ref="A57:B57"/>
    <mergeCell ref="C57:D57"/>
    <mergeCell ref="E57:F57"/>
    <mergeCell ref="G57:H57"/>
  </mergeCells>
  <conditionalFormatting sqref="H5:H54">
    <cfRule type="expression" dxfId="2" priority="2">
      <formula>$H5="PAGADO"</formula>
    </cfRule>
    <cfRule type="expression" dxfId="1" priority="3">
      <formula>$H5="FALTA CANCELAR"</formula>
    </cfRule>
    <cfRule type="expression" dxfId="0" priority="4">
      <formula>$H5="ADELANTO"</formula>
    </cfRule>
  </conditionalFormatting>
  <dataValidations count="4">
    <dataValidation type="list" allowBlank="1" sqref="A5:A54" xr:uid="{00000000-0002-0000-0D00-000000000000}">
      <formula1>"1,2,3,4,5,6,7,8,9,10,11,12,13,14,15,16,17,18,19,20"</formula1>
      <formula2>0</formula2>
    </dataValidation>
    <dataValidation type="list" allowBlank="1" sqref="E5:E54" xr:uid="{00000000-0002-0000-0D00-000001000000}">
      <formula1>"YANBAL,ESIKA,CYZONE,LBEL,NATURA,AVON,FARMASI,ORIFLAME,OTRO"</formula1>
      <formula2>0</formula2>
    </dataValidation>
    <dataValidation type="list" allowBlank="1" sqref="G5:G54" xr:uid="{00000000-0002-0000-0D00-000002000000}">
      <formula1>"YAPE,PLIN,EFECTIVO,TRANSFERENCIA,MIXTO"</formula1>
      <formula2>0</formula2>
    </dataValidation>
    <dataValidation type="list" allowBlank="1" sqref="H5:H54" xr:uid="{00000000-0002-0000-0D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🏠 INICIO</vt:lpstr>
      <vt:lpstr>📋 INVENTARIO SIMPLE</vt:lpstr>
      <vt:lpstr>SEG - ENERO</vt:lpstr>
      <vt:lpstr>SEG - FEBRERO</vt:lpstr>
      <vt:lpstr>SEG - MARZO</vt:lpstr>
      <vt:lpstr>SEG - ABRIL</vt:lpstr>
      <vt:lpstr>SEG - MAYO</vt:lpstr>
      <vt:lpstr>SEG - JUNIO</vt:lpstr>
      <vt:lpstr>SEG - JULIO</vt:lpstr>
      <vt:lpstr>SEG - AGOSTO</vt:lpstr>
      <vt:lpstr>SEG - SEPTIEMBRE</vt:lpstr>
      <vt:lpstr>SEG - OCTUBRE</vt:lpstr>
      <vt:lpstr>SEG - NOVIEMBRE</vt:lpstr>
      <vt:lpstr>SEG - 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Ambar Milagros Castro Alejos</cp:lastModifiedBy>
  <cp:revision>0</cp:revision>
  <dcterms:created xsi:type="dcterms:W3CDTF">2026-06-14T07:07:08Z</dcterms:created>
  <dcterms:modified xsi:type="dcterms:W3CDTF">2026-06-14T09:01:20Z</dcterms:modified>
  <dc:language>en-US</dc:language>
</cp:coreProperties>
</file>