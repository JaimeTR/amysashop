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mbar/Downloads/"/>
    </mc:Choice>
  </mc:AlternateContent>
  <xr:revisionPtr revIDLastSave="0" documentId="8_{E97CFF24-4E81-7541-8219-6A03C681B51F}" xr6:coauthVersionLast="47" xr6:coauthVersionMax="47" xr10:uidLastSave="{00000000-0000-0000-0000-000000000000}"/>
  <bookViews>
    <workbookView xWindow="0" yWindow="600" windowWidth="38400" windowHeight="19200" tabRatio="500" firstSheet="2" activeTab="15" xr2:uid="{00000000-000D-0000-FFFF-FFFF00000000}"/>
  </bookViews>
  <sheets>
    <sheet name="🏠 INICIO" sheetId="1" r:id="rId1"/>
    <sheet name="💰 INVENTARIO" sheetId="2" r:id="rId2"/>
    <sheet name="📊 CALCULADORA CAMPAÑA" sheetId="3" r:id="rId3"/>
    <sheet name="SEG - ENERO" sheetId="4" r:id="rId4"/>
    <sheet name="SEG - FEBRERO" sheetId="5" r:id="rId5"/>
    <sheet name="SEG - MARZO" sheetId="6" r:id="rId6"/>
    <sheet name="SEG - ABRIL" sheetId="7" r:id="rId7"/>
    <sheet name="SEG - MAYO" sheetId="8" r:id="rId8"/>
    <sheet name="SEG - JUNIO" sheetId="9" r:id="rId9"/>
    <sheet name="SEG - JULIO" sheetId="10" r:id="rId10"/>
    <sheet name="SEG - AGOSTO" sheetId="11" r:id="rId11"/>
    <sheet name="SEG - SEPTIEMBRE" sheetId="12" r:id="rId12"/>
    <sheet name="SEG - OCTUBRE" sheetId="13" r:id="rId13"/>
    <sheet name="SEG - NOVIEMBRE" sheetId="14" r:id="rId14"/>
    <sheet name="SEG - DICIEMBRE" sheetId="15" r:id="rId15"/>
    <sheet name="📊 RESUMEN ANUAL" sheetId="16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6" l="1"/>
  <c r="B13" i="16"/>
  <c r="D12" i="16"/>
  <c r="C12" i="16"/>
  <c r="B12" i="16"/>
  <c r="B11" i="16"/>
  <c r="D10" i="16"/>
  <c r="C10" i="16"/>
  <c r="B10" i="16"/>
  <c r="B9" i="16"/>
  <c r="B8" i="16"/>
  <c r="B7" i="16"/>
  <c r="B6" i="16"/>
  <c r="B5" i="16"/>
  <c r="B4" i="16"/>
  <c r="B3" i="16"/>
  <c r="A1" i="16"/>
  <c r="G58" i="15"/>
  <c r="E58" i="15"/>
  <c r="C58" i="15"/>
  <c r="A58" i="15"/>
  <c r="K54" i="15"/>
  <c r="K53" i="15"/>
  <c r="K52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K6" i="15"/>
  <c r="K5" i="15"/>
  <c r="G58" i="14"/>
  <c r="E58" i="14"/>
  <c r="C58" i="14"/>
  <c r="A58" i="14"/>
  <c r="K54" i="14"/>
  <c r="K53" i="14"/>
  <c r="K52" i="14"/>
  <c r="K51" i="14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G58" i="13"/>
  <c r="E58" i="13"/>
  <c r="C58" i="13"/>
  <c r="A58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G58" i="12"/>
  <c r="E58" i="12"/>
  <c r="C58" i="12"/>
  <c r="A58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G58" i="11"/>
  <c r="E58" i="11"/>
  <c r="C58" i="11"/>
  <c r="A58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G58" i="10"/>
  <c r="E58" i="10"/>
  <c r="C58" i="10"/>
  <c r="A58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G58" i="9"/>
  <c r="E58" i="9"/>
  <c r="C58" i="9"/>
  <c r="A58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G58" i="8"/>
  <c r="E58" i="8"/>
  <c r="C58" i="8"/>
  <c r="A58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G58" i="7"/>
  <c r="E58" i="7"/>
  <c r="C58" i="7"/>
  <c r="A58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G58" i="6"/>
  <c r="E58" i="6"/>
  <c r="C58" i="6"/>
  <c r="A58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G58" i="5"/>
  <c r="E58" i="5"/>
  <c r="C58" i="5"/>
  <c r="A58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G58" i="4"/>
  <c r="E58" i="4"/>
  <c r="C58" i="4"/>
  <c r="A58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G59" i="3"/>
  <c r="E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J42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K27" i="3"/>
  <c r="J27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H9" i="3"/>
  <c r="H8" i="3"/>
  <c r="H7" i="3"/>
  <c r="H6" i="3"/>
  <c r="H5" i="3"/>
  <c r="G5" i="3"/>
  <c r="F3" i="3"/>
  <c r="D55" i="2"/>
  <c r="H54" i="2"/>
  <c r="G54" i="2"/>
  <c r="F54" i="2"/>
  <c r="H53" i="2"/>
  <c r="G53" i="2"/>
  <c r="F53" i="2"/>
  <c r="H52" i="2"/>
  <c r="G52" i="2"/>
  <c r="F52" i="2"/>
  <c r="H51" i="2"/>
  <c r="G51" i="2"/>
  <c r="F51" i="2"/>
  <c r="H50" i="2"/>
  <c r="G50" i="2"/>
  <c r="F50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J29" i="2"/>
  <c r="I29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F3" i="2"/>
  <c r="B15" i="16" l="1"/>
  <c r="D14" i="16"/>
  <c r="C14" i="16"/>
  <c r="D13" i="16"/>
  <c r="C13" i="16"/>
  <c r="D11" i="16"/>
  <c r="C11" i="16"/>
  <c r="D9" i="16"/>
  <c r="C9" i="16"/>
  <c r="D8" i="16"/>
  <c r="C8" i="16"/>
  <c r="D7" i="16"/>
  <c r="C7" i="16"/>
  <c r="D6" i="16"/>
  <c r="C6" i="16"/>
  <c r="D5" i="16"/>
  <c r="C5" i="16"/>
  <c r="C4" i="16"/>
  <c r="D3" i="16"/>
  <c r="D15" i="16" s="1"/>
  <c r="C3" i="16"/>
  <c r="C15" i="16" s="1"/>
  <c r="I58" i="15"/>
  <c r="E14" i="16" s="1"/>
  <c r="I58" i="14"/>
  <c r="E13" i="16" s="1"/>
  <c r="J54" i="3"/>
  <c r="J52" i="3"/>
  <c r="J49" i="3"/>
  <c r="K48" i="3"/>
  <c r="I48" i="3"/>
  <c r="I45" i="3"/>
  <c r="K41" i="3"/>
  <c r="K37" i="3"/>
  <c r="J37" i="3"/>
  <c r="I37" i="3"/>
  <c r="K35" i="3"/>
  <c r="J35" i="3"/>
  <c r="I35" i="3"/>
  <c r="K33" i="3"/>
  <c r="J33" i="3"/>
  <c r="I33" i="3"/>
  <c r="J31" i="3"/>
  <c r="I31" i="3"/>
  <c r="K30" i="3"/>
  <c r="J30" i="3"/>
  <c r="K20" i="3"/>
  <c r="J19" i="3"/>
  <c r="J16" i="3"/>
  <c r="J14" i="3"/>
  <c r="K11" i="3"/>
  <c r="J11" i="3"/>
  <c r="I10" i="3"/>
  <c r="G10" i="3"/>
  <c r="J10" i="3" s="1"/>
  <c r="G9" i="3"/>
  <c r="J9" i="3" s="1"/>
  <c r="G8" i="3"/>
  <c r="J8" i="3" s="1"/>
  <c r="I7" i="3"/>
  <c r="I54" i="2"/>
  <c r="I58" i="13"/>
  <c r="E12" i="16" s="1"/>
  <c r="I58" i="12"/>
  <c r="E11" i="16" s="1"/>
  <c r="I58" i="8"/>
  <c r="E7" i="16" s="1"/>
  <c r="I58" i="5"/>
  <c r="E4" i="16" s="1"/>
  <c r="I58" i="4"/>
  <c r="E3" i="16" s="1"/>
  <c r="J53" i="3"/>
  <c r="I52" i="3"/>
  <c r="I51" i="3"/>
  <c r="K50" i="3"/>
  <c r="I50" i="3"/>
  <c r="K49" i="3"/>
  <c r="I47" i="3"/>
  <c r="K46" i="3"/>
  <c r="J46" i="3"/>
  <c r="I46" i="3"/>
  <c r="K45" i="3"/>
  <c r="J45" i="3"/>
  <c r="K43" i="3"/>
  <c r="I39" i="3"/>
  <c r="J38" i="3"/>
  <c r="I38" i="3"/>
  <c r="K36" i="3"/>
  <c r="J36" i="3"/>
  <c r="I36" i="3"/>
  <c r="K31" i="3"/>
  <c r="I30" i="3"/>
  <c r="J29" i="3"/>
  <c r="I18" i="3"/>
  <c r="I17" i="3"/>
  <c r="I12" i="3"/>
  <c r="K8" i="3"/>
  <c r="K6" i="3"/>
  <c r="I5" i="3"/>
  <c r="G55" i="2"/>
  <c r="I58" i="11"/>
  <c r="E10" i="16" s="1"/>
  <c r="I58" i="10"/>
  <c r="E9" i="16" s="1"/>
  <c r="I58" i="9"/>
  <c r="E8" i="16" s="1"/>
  <c r="I58" i="7"/>
  <c r="E6" i="16" s="1"/>
  <c r="I58" i="6"/>
  <c r="E5" i="16" s="1"/>
  <c r="H55" i="3"/>
  <c r="K54" i="3"/>
  <c r="I54" i="3"/>
  <c r="K53" i="3"/>
  <c r="I53" i="3"/>
  <c r="J51" i="3"/>
  <c r="I49" i="3"/>
  <c r="K47" i="3"/>
  <c r="J43" i="3"/>
  <c r="I43" i="3"/>
  <c r="K42" i="3"/>
  <c r="I42" i="3"/>
  <c r="I41" i="3"/>
  <c r="J40" i="3"/>
  <c r="I40" i="3"/>
  <c r="K39" i="3"/>
  <c r="K38" i="3"/>
  <c r="K15" i="3"/>
  <c r="I15" i="3"/>
  <c r="I11" i="3"/>
  <c r="G7" i="3"/>
  <c r="J7" i="3" s="1"/>
  <c r="K5" i="3"/>
  <c r="F55" i="2"/>
  <c r="J44" i="3"/>
  <c r="K29" i="3"/>
  <c r="I27" i="3"/>
  <c r="I21" i="3"/>
  <c r="I20" i="3"/>
  <c r="I19" i="3"/>
  <c r="K34" i="3"/>
  <c r="J21" i="3"/>
  <c r="K18" i="3"/>
  <c r="I13" i="3"/>
  <c r="I29" i="3"/>
  <c r="K21" i="3"/>
  <c r="J20" i="3"/>
  <c r="K17" i="3"/>
  <c r="K14" i="3"/>
  <c r="K51" i="3"/>
  <c r="J28" i="3"/>
  <c r="J15" i="3"/>
  <c r="I8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J17" i="3"/>
  <c r="I9" i="3"/>
  <c r="I6" i="3"/>
  <c r="G6" i="3"/>
  <c r="J6" i="3" s="1"/>
  <c r="J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D4" i="16"/>
  <c r="K52" i="3"/>
  <c r="J50" i="3"/>
  <c r="J48" i="3"/>
  <c r="J47" i="3"/>
  <c r="K44" i="3"/>
  <c r="I44" i="3"/>
  <c r="J41" i="3"/>
  <c r="K40" i="3"/>
  <c r="J39" i="3"/>
  <c r="J34" i="3"/>
  <c r="I34" i="3"/>
  <c r="K32" i="3"/>
  <c r="J32" i="3"/>
  <c r="I32" i="3"/>
  <c r="K28" i="3"/>
  <c r="I28" i="3"/>
  <c r="K19" i="3"/>
  <c r="J18" i="3"/>
  <c r="K16" i="3"/>
  <c r="I16" i="3"/>
  <c r="I14" i="3"/>
  <c r="K13" i="3"/>
  <c r="J13" i="3"/>
  <c r="K12" i="3"/>
  <c r="J12" i="3"/>
  <c r="K10" i="3"/>
  <c r="K9" i="3"/>
  <c r="K7" i="3"/>
  <c r="J5" i="3"/>
  <c r="K55" i="3" l="1"/>
  <c r="E59" i="3"/>
  <c r="J55" i="3"/>
  <c r="C59" i="3"/>
  <c r="G55" i="3"/>
  <c r="E15" i="16"/>
  <c r="J55" i="2"/>
  <c r="I55" i="2"/>
  <c r="A59" i="3"/>
</calcChain>
</file>

<file path=xl/sharedStrings.xml><?xml version="1.0" encoding="utf-8"?>
<sst xmlns="http://schemas.openxmlformats.org/spreadsheetml/2006/main" count="387" uniqueCount="157">
  <si>
    <t>AMYSA  ·  GESTIÓN DE VENTAS POR CATÁLOGO</t>
  </si>
  <si>
    <t>Controla tu negocio y conoce tu ganancia real   ·   Yanbal · Esika · Cyzone · LBel · Natura · Avon · Farmasi · Oriflame</t>
  </si>
  <si>
    <t>⚙️  CONFIGURA TU SISTEMA AQUÍ</t>
  </si>
  <si>
    <t>👤  Tu nombre de consultora:</t>
  </si>
  <si>
    <t>ESCRIBE TU NOMBRE</t>
  </si>
  <si>
    <t>← escribe tu nombre aquí</t>
  </si>
  <si>
    <t>💰  Tu % de comisión base:</t>
  </si>
  <si>
    <t>← lo que gana tu vendedora por vender (o tú, si vendes)</t>
  </si>
  <si>
    <t>📅  Año de control:</t>
  </si>
  <si>
    <t>← el año que estás registrando</t>
  </si>
  <si>
    <t>📋  GUÍA DE HOJAS — ¿QUÉ HACE CADA UNA?</t>
  </si>
  <si>
    <t>💰  INVENTARIO</t>
  </si>
  <si>
    <t>Tu menú de productos: ingresa el costo y el margen, y obtienes precio de venta, ganancia y comisión.</t>
  </si>
  <si>
    <t xml:space="preserve">      📌 CONFIGURA UNA VEZ. Solo cuando cambian tus costos o agregas un producto.</t>
  </si>
  <si>
    <t>📊  CALCULADORA CAMPAÑA</t>
  </si>
  <si>
    <t>Registra lo que vendiste en UNA campaña y calcula ganancia + comisión al instante.</t>
  </si>
  <si>
    <t xml:space="preserve">      ✅ ÚSALA CADA CAMPAÑA (cada ~3 semanas).</t>
  </si>
  <si>
    <t>📅  SEG — ENERO … DIC</t>
  </si>
  <si>
    <t>Registro detallado de cada venta: cliente, producto, pago, estado y comisión.</t>
  </si>
  <si>
    <t xml:space="preserve">      📝 ÚSALA DIARIO. Anota cada venta en el mes que corresponde.</t>
  </si>
  <si>
    <t>📊  RESUMEN ANUAL</t>
  </si>
  <si>
    <t>Dashboard de todo el año: ventas, comisiones y gráfico mes a mes.</t>
  </si>
  <si>
    <t xml:space="preserve">      👀 SOLO LECTURA. Se calcula solo con lo que vas registrando.</t>
  </si>
  <si>
    <t>🎨  LEYENDA DE COLORES EN LAS TABLAS</t>
  </si>
  <si>
    <t>🔵  Celda azul sobre fondo amarillo</t>
  </si>
  <si>
    <t>Aquí TÚ escribes los datos (nombre, producto, precio, cantidad…)</t>
  </si>
  <si>
    <t>⚫  Celda azul sobre fondo claro</t>
  </si>
  <si>
    <t>Se calcula sola automáticamente — NO la edites</t>
  </si>
  <si>
    <t>🟠  Celda naranja</t>
  </si>
  <si>
    <t>Tu % de margen — puedes editarlo por producto</t>
  </si>
  <si>
    <t>🟢  Celda verde</t>
  </si>
  <si>
    <t>Pagado / dinero que entra / tu ganancia</t>
  </si>
  <si>
    <t>🔴  Celda roja</t>
  </si>
  <si>
    <t>Falta cancelar / costo / dinero que sale</t>
  </si>
  <si>
    <t>💡  Empieza en INVENTARIO definiendo tus productos y márgenes. Cada campaña usa la CALCULADORA CAMPAÑA, anota tus ventas en la hoja del mes (SEG) y mira tu RESUMEN ANUAL crecer mes a mes. ¡Tú puedes! 🌸</t>
  </si>
  <si>
    <t>💰  INVENTARIO — Precios y Ganancia por Producto</t>
  </si>
  <si>
    <t xml:space="preserve">   Ingresa tu COSTO y tu % de MARGEN. El sistema calcula solo el precio de venta, tu ganancia y la comisión de tu vendedora.</t>
  </si>
  <si>
    <t xml:space="preserve">   ⚙️ COMISIÓN GLOBAL (se toma de INICIO):</t>
  </si>
  <si>
    <t>← cámbiala en la hoja INICIO</t>
  </si>
  <si>
    <t>#</t>
  </si>
  <si>
    <t>CATÁLOGO</t>
  </si>
  <si>
    <t>PRODUCTO</t>
  </si>
  <si>
    <t>💰 COSTO (lo que pagas)</t>
  </si>
  <si>
    <t>📈 % MARGEN</t>
  </si>
  <si>
    <t>🏷️ PRECIO VENTA (auto)</t>
  </si>
  <si>
    <t>💵 GANANCIA S/</t>
  </si>
  <si>
    <t>🏆 COMISIÓN %</t>
  </si>
  <si>
    <t>💎 COMISIÓN S/</t>
  </si>
  <si>
    <t>✅ GANANCIA NETA</t>
  </si>
  <si>
    <t>NATURA</t>
  </si>
  <si>
    <t>Crema Tododía Ciruela y Flor de Vainilla</t>
  </si>
  <si>
    <t>CYZONE</t>
  </si>
  <si>
    <t>Mini Chic Colonia</t>
  </si>
  <si>
    <t>ESIKA</t>
  </si>
  <si>
    <t>Expression Magic Rímel</t>
  </si>
  <si>
    <t>YANBAL</t>
  </si>
  <si>
    <t>Kit Perfume Dulce Vanidad</t>
  </si>
  <si>
    <t>AVON</t>
  </si>
  <si>
    <t>Anew Gold Crema Facial</t>
  </si>
  <si>
    <t>📊  TOTALES</t>
  </si>
  <si>
    <t>🟡  ¿CÓMO SE CALCULA TU PRECIO DE VENTA?</t>
  </si>
  <si>
    <t>PASO 1  →</t>
  </si>
  <si>
    <t>PRECIO CON GANANCIA = Costo ÷ (1 − margen).   Ej: margen 30% → divides entre 0.70 para que tu 30% quede DENTRO del precio.</t>
  </si>
  <si>
    <t>PASO 2  →</t>
  </si>
  <si>
    <t>PRECIO FINAL DE VENTA = Precio con ganancia ÷ (1 − comisión).   Ej: comisión 10% → divides entre 0.90 para que la comisión quede DENTRO.</t>
  </si>
  <si>
    <t>PASO 3  →</t>
  </si>
  <si>
    <t>TU GANANCIA = Precio con ganancia − Costo.    COMISIÓN VENDEDORA = Precio final × comisión.</t>
  </si>
  <si>
    <t>✅ EJEMPLO:  Costo S/15, margen 30%, comisión 10%  →  Precio con ganancia = 15 ÷ 0.70 = S/21.43  →  Precio final = 21.43 ÷ 0.90 = S/23.81  |  Tu ganancia = S/6.43  ·  Comisión vendedora = S/2.38</t>
  </si>
  <si>
    <t>🔑  ¿QUÉ SIGNIFICA CADA COLUMNA?</t>
  </si>
  <si>
    <t>💰 COSTO</t>
  </si>
  <si>
    <t>Lo que TÚ pagas al catálogo por el producto.</t>
  </si>
  <si>
    <t>Tu ganancia deseada. 30% = de cada S/100 que vendes, S/30 son tuyos.</t>
  </si>
  <si>
    <t>🏷️ PRECIO VENTA</t>
  </si>
  <si>
    <t>Lo que le cobras al cliente. Ya incluye tu ganancia + la comisión.</t>
  </si>
  <si>
    <t>Lo que ganas TÚ en soles por cada producto.</t>
  </si>
  <si>
    <t>Lo que le pagas a tu vendedora por venderlo.</t>
  </si>
  <si>
    <t>Lo que REALMENTE te queda a ti (tu margen).</t>
  </si>
  <si>
    <t>📊  CALCULADORA DE CAMPAÑA — Registra lo que vendiste esta campaña</t>
  </si>
  <si>
    <t xml:space="preserve">   Úsala cada campaña (cada ~3 semanas). Ingresa costo y % de ganancia; el precio, la comisión y tu ganancia se calculan solos.</t>
  </si>
  <si>
    <t xml:space="preserve">  CAMPAÑA N°:</t>
  </si>
  <si>
    <t>MES:</t>
  </si>
  <si>
    <t>JUNIO</t>
  </si>
  <si>
    <t>% COMISIÓN:</t>
  </si>
  <si>
    <t>← se toma de INICIO</t>
  </si>
  <si>
    <t>MES</t>
  </si>
  <si>
    <t>📈 % GANANCIA</t>
  </si>
  <si>
    <t>💵 MARGEN S/</t>
  </si>
  <si>
    <t>🏆 COM. %</t>
  </si>
  <si>
    <t>💎 COM. S/</t>
  </si>
  <si>
    <t>Crema Corporal Tododía</t>
  </si>
  <si>
    <t>ORIFLAME</t>
  </si>
  <si>
    <t>Giordani Gold Serum</t>
  </si>
  <si>
    <t>📊  TOTALES DE ESTA CAMPAÑA</t>
  </si>
  <si>
    <t>📈  RESUMEN DE ESTA CAMPAÑA</t>
  </si>
  <si>
    <t>💰 VENTAS TOTALES</t>
  </si>
  <si>
    <t>🏆 COMISIÓN TOTAL</t>
  </si>
  <si>
    <t>💵 GANANCIA NETA</t>
  </si>
  <si>
    <t>📦 PRODUCTOS VENDIDOS</t>
  </si>
  <si>
    <t>✅  SEGUIMIENTO DE VENTAS — ENERO</t>
  </si>
  <si>
    <t xml:space="preserve">   Registra tus ventas del mes. Usa los desplegables ▼ para Campaña, Catálogo, Método de pago y Estado.</t>
  </si>
  <si>
    <t xml:space="preserve">   🟢 PAGADO    🔴 FALTA CANCELAR    🟡 ADELANTO</t>
  </si>
  <si>
    <t>CAMPAÑA
N°</t>
  </si>
  <si>
    <t>CLIENTE</t>
  </si>
  <si>
    <t>PRECIO (S/)</t>
  </si>
  <si>
    <t>MÉTODO PAGO</t>
  </si>
  <si>
    <t>ESTADO PAGO</t>
  </si>
  <si>
    <t>ADELANTO S/</t>
  </si>
  <si>
    <t>NOTAS</t>
  </si>
  <si>
    <t>COMISIÓN (S/)</t>
  </si>
  <si>
    <t>PAOLA</t>
  </si>
  <si>
    <t>Crema Tododía Ciruela</t>
  </si>
  <si>
    <t>EFECTIVO</t>
  </si>
  <si>
    <t>PAGADO</t>
  </si>
  <si>
    <t>📊  RESUMEN DEL MES — ENERO</t>
  </si>
  <si>
    <t>💰 TOTAL VENDIDO (S/)</t>
  </si>
  <si>
    <t>🟢 PAGADOS</t>
  </si>
  <si>
    <t>🔴 FALTA CANCELAR</t>
  </si>
  <si>
    <t>🟡 ADELANTOS (S/)</t>
  </si>
  <si>
    <t>💎 COMISIÓN DEL MES (S/)</t>
  </si>
  <si>
    <t>✅  SEGUIMIENTO DE VENTAS — FEBRERO</t>
  </si>
  <si>
    <t>📊  RESUMEN DEL MES — FEBRERO</t>
  </si>
  <si>
    <t>✅  SEGUIMIENTO DE VENTAS — MARZO</t>
  </si>
  <si>
    <t>📊  RESUMEN DEL MES — MARZO</t>
  </si>
  <si>
    <t>✅  SEGUIMIENTO DE VENTAS — ABRIL</t>
  </si>
  <si>
    <t>📊  RESUMEN DEL MES — ABRIL</t>
  </si>
  <si>
    <t>✅  SEGUIMIENTO DE VENTAS — MAYO</t>
  </si>
  <si>
    <t>📊  RESUMEN DEL MES — MAYO</t>
  </si>
  <si>
    <t>✅  SEGUIMIENTO DE VENTAS — JUNIO</t>
  </si>
  <si>
    <t>📊  RESUMEN DEL MES — JUNIO</t>
  </si>
  <si>
    <t>✅  SEGUIMIENTO DE VENTAS — JULIO</t>
  </si>
  <si>
    <t>📊  RESUMEN DEL MES — JULIO</t>
  </si>
  <si>
    <t>✅  SEGUIMIENTO DE VENTAS — AGOSTO</t>
  </si>
  <si>
    <t>📊  RESUMEN DEL MES — AGOSTO</t>
  </si>
  <si>
    <t>✅  SEGUIMIENTO DE VENTAS — SEPTIEMBRE</t>
  </si>
  <si>
    <t>📊  RESUMEN DEL MES — SEPTIEMBRE</t>
  </si>
  <si>
    <t>✅  SEGUIMIENTO DE VENTAS — OCTUBRE</t>
  </si>
  <si>
    <t>📊  RESUMEN DEL MES — OCTUBRE</t>
  </si>
  <si>
    <t>✅  SEGUIMIENTO DE VENTAS — NOVIEMBRE</t>
  </si>
  <si>
    <t>📊  RESUMEN DEL MES — NOVIEMBRE</t>
  </si>
  <si>
    <t>✅  SEGUIMIENTO DE VENTAS — DICIEMBRE</t>
  </si>
  <si>
    <t>📊  RESUMEN DEL MES — DICIEMBRE</t>
  </si>
  <si>
    <t>💰 VENTAS PAGADAS (S/)</t>
  </si>
  <si>
    <t>🟢 N° PAGADOS</t>
  </si>
  <si>
    <t>💎 COMISIÓN (S/)</t>
  </si>
  <si>
    <t>ENERO</t>
  </si>
  <si>
    <t>FEBRERO</t>
  </si>
  <si>
    <t>MARZO</t>
  </si>
  <si>
    <t>ABRIL</t>
  </si>
  <si>
    <t>MAYO</t>
  </si>
  <si>
    <t>JULIO</t>
  </si>
  <si>
    <t>AGOSTO</t>
  </si>
  <si>
    <t>SEPTIEMBRE</t>
  </si>
  <si>
    <t>OCTUBRE</t>
  </si>
  <si>
    <t>NOVIEMBRE</t>
  </si>
  <si>
    <t>DICIEMBRE</t>
  </si>
  <si>
    <t>TOTAL AÑO</t>
  </si>
  <si>
    <t>💡  Esta hoja se calcula sola con lo que registras en las hojas SEG de cada mes. ¡Solo lectura!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</si>
</sst>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 &quot;#,##0.00"/>
  </numFmts>
  <fonts count="62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sz val="9.5"/>
      <color rgb="FFCE93D8"/>
      <name val="Arial"/>
      <family val="2"/>
    </font>
    <font>
      <b/>
      <sz val="11"/>
      <color rgb="FF5B2D8E"/>
      <name val="Arial"/>
      <family val="2"/>
    </font>
    <font>
      <b/>
      <sz val="11"/>
      <color rgb="FF1A1A2E"/>
      <name val="Arial"/>
      <family val="2"/>
    </font>
    <font>
      <b/>
      <sz val="12"/>
      <color rgb="FF0000FF"/>
      <name val="Arial"/>
      <family val="2"/>
    </font>
    <font>
      <i/>
      <sz val="9"/>
      <color rgb="FF757575"/>
      <name val="Arial"/>
      <family val="2"/>
    </font>
    <font>
      <b/>
      <sz val="10.5"/>
      <color rgb="FF5B2D8E"/>
      <name val="Arial"/>
      <family val="2"/>
    </font>
    <font>
      <sz val="10"/>
      <color rgb="FF1A1A2E"/>
      <name val="Arial"/>
      <family val="2"/>
    </font>
    <font>
      <b/>
      <sz val="10"/>
      <color rgb="FF0000FF"/>
      <name val="Arial"/>
      <family val="2"/>
    </font>
    <font>
      <b/>
      <sz val="10"/>
      <color rgb="FF1565C0"/>
      <name val="Arial"/>
      <family val="2"/>
    </font>
    <font>
      <b/>
      <sz val="10"/>
      <color rgb="FFE65100"/>
      <name val="Arial"/>
      <family val="2"/>
    </font>
    <font>
      <b/>
      <sz val="10"/>
      <color rgb="FF1B5E20"/>
      <name val="Arial"/>
      <family val="2"/>
    </font>
    <font>
      <b/>
      <sz val="10"/>
      <color rgb="FFC62828"/>
      <name val="Arial"/>
      <family val="2"/>
    </font>
    <font>
      <i/>
      <sz val="10"/>
      <color rgb="FF5B2D8E"/>
      <name val="Arial"/>
      <family val="2"/>
    </font>
    <font>
      <b/>
      <sz val="15"/>
      <color rgb="FFFFFFFF"/>
      <name val="Arial"/>
      <family val="2"/>
    </font>
    <font>
      <b/>
      <sz val="9.5"/>
      <color rgb="FF1A1A2E"/>
      <name val="Arial"/>
      <family val="2"/>
    </font>
    <font>
      <b/>
      <sz val="10"/>
      <color rgb="FF5B2D8E"/>
      <name val="Arial"/>
      <family val="2"/>
    </font>
    <font>
      <i/>
      <sz val="8.5"/>
      <color rgb="FF757575"/>
      <name val="Arial"/>
      <family val="2"/>
    </font>
    <font>
      <b/>
      <sz val="9.5"/>
      <color rgb="FFFFFFFF"/>
      <name val="Arial"/>
      <family val="2"/>
    </font>
    <font>
      <b/>
      <sz val="10"/>
      <color rgb="FF006064"/>
      <name val="Arial"/>
      <family val="2"/>
    </font>
    <font>
      <sz val="10"/>
      <color rgb="FF1B5E20"/>
      <name val="Arial"/>
      <family val="2"/>
    </font>
    <font>
      <sz val="10"/>
      <color rgb="FF2E7D32"/>
      <name val="Arial"/>
      <family val="2"/>
    </font>
    <font>
      <sz val="10"/>
      <color rgb="FF1565C0"/>
      <name val="Arial"/>
      <family val="2"/>
    </font>
    <font>
      <b/>
      <sz val="11"/>
      <color rgb="FFFFFFFF"/>
      <name val="Arial"/>
      <family val="2"/>
    </font>
    <font>
      <sz val="11"/>
      <color rgb="FF1A1A2E"/>
      <name val="Arial"/>
      <family val="2"/>
    </font>
    <font>
      <b/>
      <sz val="11"/>
      <color rgb="FF1B5E20"/>
      <name val="Arial"/>
      <family val="2"/>
    </font>
    <font>
      <b/>
      <sz val="11"/>
      <color rgb="FF1565C0"/>
      <name val="Arial"/>
      <family val="2"/>
    </font>
    <font>
      <b/>
      <sz val="9.5"/>
      <color rgb="FF1B5E20"/>
      <name val="Arial"/>
      <family val="2"/>
    </font>
    <font>
      <b/>
      <sz val="14"/>
      <color rgb="FFFFFFFF"/>
      <name val="Arial"/>
      <family val="2"/>
    </font>
    <font>
      <b/>
      <sz val="10"/>
      <color rgb="FF1A1A2E"/>
      <name val="Arial"/>
      <family val="2"/>
    </font>
    <font>
      <b/>
      <sz val="11"/>
      <color rgb="FF0000FF"/>
      <name val="Arial"/>
      <family val="2"/>
    </font>
    <font>
      <sz val="9"/>
      <color rgb="FF1A1A2E"/>
      <name val="Arial"/>
      <family val="2"/>
    </font>
    <font>
      <b/>
      <sz val="9"/>
      <color rgb="FF5B2D8E"/>
      <name val="Arial"/>
      <family val="2"/>
    </font>
    <font>
      <b/>
      <sz val="9"/>
      <color rgb="FF0000FF"/>
      <name val="Arial"/>
      <family val="2"/>
    </font>
    <font>
      <b/>
      <sz val="9"/>
      <color rgb="FFE65100"/>
      <name val="Arial"/>
      <family val="2"/>
    </font>
    <font>
      <b/>
      <sz val="9"/>
      <color rgb="FF006064"/>
      <name val="Arial"/>
      <family val="2"/>
    </font>
    <font>
      <sz val="9"/>
      <color rgb="FF1B5E20"/>
      <name val="Arial"/>
      <family val="2"/>
    </font>
    <font>
      <sz val="9"/>
      <color rgb="FF2E7D32"/>
      <name val="Arial"/>
      <family val="2"/>
    </font>
    <font>
      <sz val="9"/>
      <color rgb="FF1565C0"/>
      <name val="Arial"/>
      <family val="2"/>
    </font>
    <font>
      <b/>
      <sz val="9"/>
      <color rgb="FF1B5E20"/>
      <name val="Arial"/>
      <family val="2"/>
    </font>
    <font>
      <b/>
      <sz val="12"/>
      <color rgb="FFFFFFFF"/>
      <name val="Arial"/>
      <family val="2"/>
    </font>
    <font>
      <b/>
      <sz val="15"/>
      <color rgb="FF1B5E20"/>
      <name val="Arial"/>
      <family val="2"/>
    </font>
    <font>
      <b/>
      <sz val="15"/>
      <color rgb="FF1565C0"/>
      <name val="Arial"/>
      <family val="2"/>
    </font>
    <font>
      <b/>
      <sz val="15"/>
      <color rgb="FF5B2D8E"/>
      <name val="Arial"/>
      <family val="2"/>
    </font>
    <font>
      <b/>
      <sz val="9"/>
      <color rgb="FF1A1A2E"/>
      <name val="Arial"/>
      <family val="2"/>
    </font>
    <font>
      <b/>
      <sz val="9"/>
      <color rgb="FF0D3B6E"/>
      <name val="Arial"/>
      <family val="2"/>
    </font>
    <font>
      <sz val="9"/>
      <color rgb="FF0000FF"/>
      <name val="Arial"/>
      <family val="2"/>
    </font>
    <font>
      <sz val="9"/>
      <color rgb="FF006064"/>
      <name val="Arial"/>
      <family val="2"/>
    </font>
    <font>
      <b/>
      <sz val="9.5"/>
      <color rgb="FFC62828"/>
      <name val="Arial"/>
      <family val="2"/>
    </font>
    <font>
      <b/>
      <sz val="9.5"/>
      <color rgb="FFB8860B"/>
      <name val="Arial"/>
      <family val="2"/>
    </font>
    <font>
      <b/>
      <sz val="9.5"/>
      <color rgb="FF1565C0"/>
      <name val="Arial"/>
      <family val="2"/>
    </font>
    <font>
      <b/>
      <sz val="14"/>
      <color rgb="FF1B5E20"/>
      <name val="Arial"/>
      <family val="2"/>
    </font>
    <font>
      <b/>
      <sz val="14"/>
      <color rgb="FFC62828"/>
      <name val="Arial"/>
      <family val="2"/>
    </font>
    <font>
      <b/>
      <sz val="14"/>
      <color rgb="FFB8860B"/>
      <name val="Arial"/>
      <family val="2"/>
    </font>
    <font>
      <b/>
      <sz val="14"/>
      <color rgb="FF1565C0"/>
      <name val="Arial"/>
      <family val="2"/>
    </font>
    <font>
      <sz val="10"/>
      <color rgb="FFC62828"/>
      <name val="Arial"/>
      <family val="2"/>
    </font>
    <font>
      <b/>
      <sz val="12"/>
      <color rgb="FF1B5E20"/>
      <name val="Arial"/>
      <family val="2"/>
    </font>
    <font>
      <b/>
      <sz val="12"/>
      <color rgb="FF5B2D8E"/>
      <name val="Arial"/>
      <family val="2"/>
    </font>
    <font>
      <b/>
      <sz val="12"/>
      <color rgb="FFC62828"/>
      <name val="Arial"/>
      <family val="2"/>
    </font>
    <font>
      <b/>
      <sz val="12"/>
      <color rgb="FF1565C0"/>
      <name val="Arial"/>
      <family val="2"/>
    </font>
    <font>
      <i/>
      <sz val="9.5"/>
      <color rgb="FF5B2D8E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7EEE9"/>
        <bgColor rgb="FFFFEBEE"/>
      </patternFill>
    </fill>
    <fill>
      <patternFill patternType="solid">
        <fgColor rgb="FF622697"/>
        <bgColor rgb="FF5B2D8E"/>
      </patternFill>
    </fill>
    <fill>
      <patternFill patternType="solid">
        <fgColor rgb="FF2D1B5E"/>
        <bgColor rgb="FF1A1A2E"/>
      </patternFill>
    </fill>
    <fill>
      <patternFill patternType="solid">
        <fgColor rgb="FFEDE7F6"/>
        <bgColor rgb="FFF7EEE9"/>
      </patternFill>
    </fill>
    <fill>
      <patternFill patternType="solid">
        <fgColor rgb="FFFFF9C4"/>
        <bgColor rgb="FFFFF3CD"/>
      </patternFill>
    </fill>
    <fill>
      <patternFill patternType="solid">
        <fgColor rgb="FFFFFFFF"/>
        <bgColor rgb="FFFFFDE7"/>
      </patternFill>
    </fill>
    <fill>
      <patternFill patternType="solid">
        <fgColor rgb="FFE3F2FD"/>
        <bgColor rgb="FFE0F7FA"/>
      </patternFill>
    </fill>
    <fill>
      <patternFill patternType="solid">
        <fgColor rgb="FFFFFDE7"/>
        <bgColor rgb="FFFFFFFF"/>
      </patternFill>
    </fill>
    <fill>
      <patternFill patternType="solid">
        <fgColor rgb="FFE8F5E9"/>
        <bgColor rgb="FFE0F7FA"/>
      </patternFill>
    </fill>
    <fill>
      <patternFill patternType="solid">
        <fgColor rgb="FFFFEBEE"/>
        <bgColor rgb="FFF7EEE9"/>
      </patternFill>
    </fill>
    <fill>
      <patternFill patternType="solid">
        <fgColor rgb="FF4D2990"/>
        <bgColor rgb="FF5B2D8E"/>
      </patternFill>
    </fill>
    <fill>
      <patternFill patternType="solid">
        <fgColor rgb="FFB71C1C"/>
        <bgColor rgb="FFC62828"/>
      </patternFill>
    </fill>
    <fill>
      <patternFill patternType="solid">
        <fgColor rgb="FFE65100"/>
        <bgColor rgb="FFC62828"/>
      </patternFill>
    </fill>
    <fill>
      <patternFill patternType="solid">
        <fgColor rgb="FF045E65"/>
        <bgColor rgb="FF006064"/>
      </patternFill>
    </fill>
    <fill>
      <patternFill patternType="solid">
        <fgColor rgb="FF2E7D32"/>
        <bgColor rgb="FF1B5E20"/>
      </patternFill>
    </fill>
    <fill>
      <patternFill patternType="solid">
        <fgColor rgb="FFE0F7FA"/>
        <bgColor rgb="FFE3F2FD"/>
      </patternFill>
    </fill>
    <fill>
      <patternFill patternType="solid">
        <fgColor rgb="FFF6F4FB"/>
        <bgColor rgb="FFF7EEE9"/>
      </patternFill>
    </fill>
    <fill>
      <patternFill patternType="solid">
        <fgColor rgb="FF5B2D8E"/>
        <bgColor rgb="FF622697"/>
      </patternFill>
    </fill>
    <fill>
      <patternFill patternType="solid">
        <fgColor rgb="FFFFF3CD"/>
        <bgColor rgb="FFFFF9C4"/>
      </patternFill>
    </fill>
  </fills>
  <borders count="2">
    <border>
      <left/>
      <right/>
      <top/>
      <bottom/>
      <diagonal/>
    </border>
    <border>
      <left style="thin">
        <color rgb="FFD9D5E8"/>
      </left>
      <right style="thin">
        <color rgb="FFD9D5E8"/>
      </right>
      <top style="thin">
        <color rgb="FFD9D5E8"/>
      </top>
      <bottom style="thin">
        <color rgb="FFD9D5E8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8" fillId="7" borderId="1" xfId="0" applyFont="1" applyFill="1" applyBorder="1" applyAlignment="1">
      <alignment vertical="center"/>
    </xf>
    <xf numFmtId="0" fontId="0" fillId="2" borderId="0" xfId="0" applyFill="1"/>
    <xf numFmtId="0" fontId="4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9" fontId="5" fillId="6" borderId="1" xfId="0" applyNumberFormat="1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vertical="top"/>
    </xf>
    <xf numFmtId="0" fontId="9" fillId="6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vertical="center"/>
    </xf>
    <xf numFmtId="0" fontId="12" fillId="10" borderId="1" xfId="0" applyFont="1" applyFill="1" applyBorder="1" applyAlignment="1">
      <alignment vertical="center"/>
    </xf>
    <xf numFmtId="0" fontId="13" fillId="11" borderId="1" xfId="0" applyFont="1" applyFill="1" applyBorder="1" applyAlignment="1">
      <alignment vertical="center"/>
    </xf>
    <xf numFmtId="9" fontId="17" fillId="5" borderId="0" xfId="0" applyNumberFormat="1" applyFont="1" applyFill="1" applyAlignment="1">
      <alignment horizontal="center"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0" fontId="19" fillId="1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9" fontId="11" fillId="9" borderId="1" xfId="0" applyNumberFormat="1" applyFont="1" applyFill="1" applyBorder="1" applyAlignment="1">
      <alignment horizontal="center" vertical="center"/>
    </xf>
    <xf numFmtId="164" fontId="20" fillId="17" borderId="1" xfId="0" applyNumberFormat="1" applyFont="1" applyFill="1" applyBorder="1" applyAlignment="1">
      <alignment horizontal="center" vertical="center"/>
    </xf>
    <xf numFmtId="164" fontId="21" fillId="10" borderId="1" xfId="0" applyNumberFormat="1" applyFont="1" applyFill="1" applyBorder="1" applyAlignment="1">
      <alignment horizontal="center" vertical="center"/>
    </xf>
    <xf numFmtId="9" fontId="22" fillId="8" borderId="1" xfId="0" applyNumberFormat="1" applyFont="1" applyFill="1" applyBorder="1" applyAlignment="1">
      <alignment horizontal="center" vertical="center"/>
    </xf>
    <xf numFmtId="164" fontId="23" fillId="8" borderId="1" xfId="0" applyNumberFormat="1" applyFont="1" applyFill="1" applyBorder="1" applyAlignment="1">
      <alignment horizontal="center" vertical="center"/>
    </xf>
    <xf numFmtId="164" fontId="12" fillId="10" borderId="1" xfId="0" applyNumberFormat="1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vertical="center"/>
    </xf>
    <xf numFmtId="164" fontId="26" fillId="5" borderId="1" xfId="0" applyNumberFormat="1" applyFont="1" applyFill="1" applyBorder="1" applyAlignment="1">
      <alignment horizontal="center" vertical="center"/>
    </xf>
    <xf numFmtId="164" fontId="27" fillId="5" borderId="1" xfId="0" applyNumberFormat="1" applyFont="1" applyFill="1" applyBorder="1" applyAlignment="1">
      <alignment horizontal="center" vertical="center"/>
    </xf>
    <xf numFmtId="0" fontId="11" fillId="7" borderId="0" xfId="0" applyFont="1" applyFill="1" applyAlignment="1">
      <alignment vertical="top"/>
    </xf>
    <xf numFmtId="0" fontId="17" fillId="7" borderId="1" xfId="0" applyFont="1" applyFill="1" applyBorder="1" applyAlignment="1">
      <alignment vertical="top"/>
    </xf>
    <xf numFmtId="0" fontId="30" fillId="5" borderId="0" xfId="0" applyFont="1" applyFill="1" applyAlignment="1">
      <alignment vertical="center"/>
    </xf>
    <xf numFmtId="1" fontId="31" fillId="6" borderId="1" xfId="0" applyNumberFormat="1" applyFont="1" applyFill="1" applyBorder="1" applyAlignment="1">
      <alignment horizontal="center" vertical="center"/>
    </xf>
    <xf numFmtId="0" fontId="30" fillId="5" borderId="0" xfId="0" applyFont="1" applyFill="1" applyAlignment="1">
      <alignment horizontal="right" vertical="center"/>
    </xf>
    <xf numFmtId="0" fontId="31" fillId="6" borderId="1" xfId="0" applyFont="1" applyFill="1" applyBorder="1" applyAlignment="1">
      <alignment horizontal="center" vertical="center"/>
    </xf>
    <xf numFmtId="9" fontId="3" fillId="5" borderId="0" xfId="0" applyNumberFormat="1" applyFont="1" applyFill="1" applyAlignment="1">
      <alignment horizontal="center" vertical="center"/>
    </xf>
    <xf numFmtId="0" fontId="18" fillId="5" borderId="0" xfId="0" applyFont="1" applyFill="1" applyAlignment="1">
      <alignment vertical="center"/>
    </xf>
    <xf numFmtId="0" fontId="0" fillId="5" borderId="0" xfId="0" applyFill="1"/>
    <xf numFmtId="0" fontId="32" fillId="7" borderId="1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32" fillId="7" borderId="1" xfId="0" applyFont="1" applyFill="1" applyBorder="1" applyAlignment="1">
      <alignment vertical="center"/>
    </xf>
    <xf numFmtId="164" fontId="34" fillId="6" borderId="1" xfId="0" applyNumberFormat="1" applyFont="1" applyFill="1" applyBorder="1" applyAlignment="1">
      <alignment horizontal="center" vertical="center"/>
    </xf>
    <xf numFmtId="9" fontId="35" fillId="9" borderId="1" xfId="0" applyNumberFormat="1" applyFont="1" applyFill="1" applyBorder="1" applyAlignment="1">
      <alignment horizontal="center" vertical="center"/>
    </xf>
    <xf numFmtId="164" fontId="36" fillId="17" borderId="1" xfId="0" applyNumberFormat="1" applyFont="1" applyFill="1" applyBorder="1" applyAlignment="1">
      <alignment horizontal="center" vertical="center"/>
    </xf>
    <xf numFmtId="164" fontId="37" fillId="10" borderId="1" xfId="0" applyNumberFormat="1" applyFont="1" applyFill="1" applyBorder="1" applyAlignment="1">
      <alignment horizontal="center" vertical="center"/>
    </xf>
    <xf numFmtId="9" fontId="38" fillId="8" borderId="1" xfId="0" applyNumberFormat="1" applyFont="1" applyFill="1" applyBorder="1" applyAlignment="1">
      <alignment horizontal="center" vertical="center"/>
    </xf>
    <xf numFmtId="164" fontId="39" fillId="8" borderId="1" xfId="0" applyNumberFormat="1" applyFont="1" applyFill="1" applyBorder="1" applyAlignment="1">
      <alignment horizontal="center" vertical="center"/>
    </xf>
    <xf numFmtId="164" fontId="40" fillId="10" borderId="1" xfId="0" applyNumberFormat="1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0" fontId="33" fillId="18" borderId="1" xfId="0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vertical="center"/>
    </xf>
    <xf numFmtId="0" fontId="46" fillId="8" borderId="1" xfId="0" applyFont="1" applyFill="1" applyBorder="1" applyAlignment="1">
      <alignment horizontal="center" vertical="center"/>
    </xf>
    <xf numFmtId="164" fontId="47" fillId="6" borderId="1" xfId="0" applyNumberFormat="1" applyFont="1" applyFill="1" applyBorder="1" applyAlignment="1">
      <alignment horizontal="center" vertical="center"/>
    </xf>
    <xf numFmtId="0" fontId="45" fillId="7" borderId="1" xfId="0" applyFont="1" applyFill="1" applyBorder="1" applyAlignment="1">
      <alignment horizontal="center" vertical="center"/>
    </xf>
    <xf numFmtId="164" fontId="48" fillId="8" borderId="1" xfId="0" applyNumberFormat="1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vertical="center"/>
    </xf>
    <xf numFmtId="1" fontId="8" fillId="7" borderId="1" xfId="0" applyNumberFormat="1" applyFont="1" applyFill="1" applyBorder="1" applyAlignment="1">
      <alignment horizontal="center" vertical="center"/>
    </xf>
    <xf numFmtId="1" fontId="56" fillId="7" borderId="1" xfId="0" applyNumberFormat="1" applyFont="1" applyFill="1" applyBorder="1" applyAlignment="1">
      <alignment horizontal="center" vertical="center"/>
    </xf>
    <xf numFmtId="164" fontId="23" fillId="7" borderId="1" xfId="0" applyNumberFormat="1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vertical="center"/>
    </xf>
    <xf numFmtId="1" fontId="8" fillId="18" borderId="1" xfId="0" applyNumberFormat="1" applyFont="1" applyFill="1" applyBorder="1" applyAlignment="1">
      <alignment horizontal="center" vertical="center"/>
    </xf>
    <xf numFmtId="1" fontId="56" fillId="18" borderId="1" xfId="0" applyNumberFormat="1" applyFont="1" applyFill="1" applyBorder="1" applyAlignment="1">
      <alignment horizontal="center" vertical="center"/>
    </xf>
    <xf numFmtId="164" fontId="23" fillId="18" borderId="1" xfId="0" applyNumberFormat="1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left" vertical="center"/>
    </xf>
    <xf numFmtId="164" fontId="57" fillId="5" borderId="1" xfId="0" applyNumberFormat="1" applyFont="1" applyFill="1" applyBorder="1" applyAlignment="1">
      <alignment horizontal="center" vertical="center"/>
    </xf>
    <xf numFmtId="1" fontId="58" fillId="5" borderId="1" xfId="0" applyNumberFormat="1" applyFont="1" applyFill="1" applyBorder="1" applyAlignment="1">
      <alignment horizontal="center" vertical="center"/>
    </xf>
    <xf numFmtId="1" fontId="59" fillId="5" borderId="1" xfId="0" applyNumberFormat="1" applyFont="1" applyFill="1" applyBorder="1" applyAlignment="1">
      <alignment horizontal="center" vertical="center"/>
    </xf>
    <xf numFmtId="164" fontId="60" fillId="5" borderId="1" xfId="0" applyNumberFormat="1" applyFont="1" applyFill="1" applyBorder="1" applyAlignment="1">
      <alignment horizontal="center" vertical="center"/>
    </xf>
    <xf numFmtId="164" fontId="42" fillId="7" borderId="1" xfId="0" applyNumberFormat="1" applyFont="1" applyFill="1" applyBorder="1" applyAlignment="1">
      <alignment horizontal="center" vertical="center"/>
    </xf>
    <xf numFmtId="164" fontId="43" fillId="7" borderId="1" xfId="0" applyNumberFormat="1" applyFont="1" applyFill="1" applyBorder="1" applyAlignment="1">
      <alignment horizontal="center" vertical="center"/>
    </xf>
    <xf numFmtId="1" fontId="44" fillId="7" borderId="1" xfId="0" applyNumberFormat="1" applyFont="1" applyFill="1" applyBorder="1" applyAlignment="1">
      <alignment horizontal="center" vertical="center"/>
    </xf>
    <xf numFmtId="0" fontId="29" fillId="3" borderId="0" xfId="0" applyFont="1" applyFill="1" applyAlignment="1">
      <alignment horizontal="left" vertical="center"/>
    </xf>
    <xf numFmtId="0" fontId="6" fillId="0" borderId="0" xfId="0" applyFont="1" applyAlignment="1">
      <alignment vertical="center" wrapText="1"/>
    </xf>
    <xf numFmtId="0" fontId="24" fillId="19" borderId="1" xfId="0" applyFont="1" applyFill="1" applyBorder="1" applyAlignment="1">
      <alignment vertical="center"/>
    </xf>
    <xf numFmtId="0" fontId="41" fillId="19" borderId="0" xfId="0" applyFont="1" applyFill="1" applyAlignment="1">
      <alignment horizontal="left" vertical="center"/>
    </xf>
    <xf numFmtId="0" fontId="12" fillId="10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/>
    </xf>
    <xf numFmtId="0" fontId="14" fillId="5" borderId="0" xfId="0" applyFont="1" applyFill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6" fillId="7" borderId="0" xfId="0" applyFont="1" applyFill="1" applyAlignment="1">
      <alignment vertical="center"/>
    </xf>
    <xf numFmtId="0" fontId="3" fillId="5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vertical="center" wrapText="1"/>
    </xf>
    <xf numFmtId="0" fontId="28" fillId="10" borderId="0" xfId="0" applyFont="1" applyFill="1" applyAlignment="1">
      <alignment vertical="center" wrapText="1"/>
    </xf>
    <xf numFmtId="0" fontId="15" fillId="3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left" vertical="center"/>
    </xf>
    <xf numFmtId="164" fontId="52" fillId="7" borderId="1" xfId="0" applyNumberFormat="1" applyFont="1" applyFill="1" applyBorder="1" applyAlignment="1">
      <alignment horizontal="center" vertical="center"/>
    </xf>
    <xf numFmtId="1" fontId="52" fillId="7" borderId="1" xfId="0" applyNumberFormat="1" applyFont="1" applyFill="1" applyBorder="1" applyAlignment="1">
      <alignment horizontal="center" vertical="center"/>
    </xf>
    <xf numFmtId="1" fontId="53" fillId="7" borderId="1" xfId="0" applyNumberFormat="1" applyFont="1" applyFill="1" applyBorder="1" applyAlignment="1">
      <alignment horizontal="center" vertical="center"/>
    </xf>
    <xf numFmtId="164" fontId="54" fillId="7" borderId="1" xfId="0" applyNumberFormat="1" applyFont="1" applyFill="1" applyBorder="1" applyAlignment="1">
      <alignment horizontal="center" vertical="center"/>
    </xf>
    <xf numFmtId="164" fontId="55" fillId="7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5" fillId="5" borderId="0" xfId="0" applyFont="1" applyFill="1" applyAlignment="1">
      <alignment vertical="center"/>
    </xf>
    <xf numFmtId="0" fontId="28" fillId="10" borderId="1" xfId="0" applyFont="1" applyFill="1" applyBorder="1" applyAlignment="1">
      <alignment horizontal="center" vertical="center" wrapText="1"/>
    </xf>
    <xf numFmtId="0" fontId="49" fillId="11" borderId="1" xfId="0" applyFont="1" applyFill="1" applyBorder="1" applyAlignment="1">
      <alignment horizontal="center" vertical="center" wrapText="1"/>
    </xf>
    <xf numFmtId="0" fontId="50" fillId="20" borderId="1" xfId="0" applyFont="1" applyFill="1" applyBorder="1" applyAlignment="1">
      <alignment horizontal="center" vertical="center" wrapText="1"/>
    </xf>
    <xf numFmtId="0" fontId="51" fillId="8" borderId="1" xfId="0" applyFont="1" applyFill="1" applyBorder="1" applyAlignment="1">
      <alignment horizontal="center" vertical="center" wrapText="1"/>
    </xf>
    <xf numFmtId="0" fontId="61" fillId="5" borderId="0" xfId="0" applyFont="1" applyFill="1" applyAlignment="1">
      <alignment vertical="center"/>
    </xf>
  </cellXfs>
  <cellStyles count="1">
    <cellStyle name="Normal" xfId="0" builtinId="0"/>
  </cellStyles>
  <dxfs count="36"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  <dxf>
      <font>
        <b/>
        <sz val="9"/>
        <color rgb="FFB8860B"/>
        <name val="Arial"/>
        <charset val="1"/>
      </font>
      <fill>
        <patternFill>
          <bgColor rgb="FFFFF3CD"/>
        </patternFill>
      </fill>
    </dxf>
    <dxf>
      <font>
        <b/>
        <sz val="9"/>
        <color rgb="FFC62828"/>
        <name val="Arial"/>
        <charset val="1"/>
      </font>
      <fill>
        <patternFill>
          <bgColor rgb="FFFFEBEE"/>
        </patternFill>
      </fill>
    </dxf>
    <dxf>
      <font>
        <b/>
        <sz val="9"/>
        <color rgb="FF1B5E20"/>
        <name val="Arial"/>
        <charset val="1"/>
      </font>
      <fill>
        <patternFill>
          <bgColor rgb="FFE8F5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E7"/>
      <rgbColor rgb="FFE91E8C"/>
      <rgbColor rgb="FF00FFFF"/>
      <rgbColor rgb="FF800000"/>
      <rgbColor rgb="FF1B5E20"/>
      <rgbColor rgb="FF000080"/>
      <rgbColor rgb="FFB8860B"/>
      <rgbColor rgb="FF800080"/>
      <rgbColor rgb="FF006064"/>
      <rgbColor rgb="FFD9D9D9"/>
      <rgbColor rgb="FF878787"/>
      <rgbColor rgb="FFB39DDB"/>
      <rgbColor rgb="FFC62828"/>
      <rgbColor rgb="FFFFF9C4"/>
      <rgbColor rgb="FFE0F7FA"/>
      <rgbColor rgb="FF622697"/>
      <rgbColor rgb="FFFF8080"/>
      <rgbColor rgb="FF1565C0"/>
      <rgbColor rgb="FFD9D5E8"/>
      <rgbColor rgb="FF000080"/>
      <rgbColor rgb="FFFF00FF"/>
      <rgbColor rgb="FFF6F4FB"/>
      <rgbColor rgb="FF00FFFF"/>
      <rgbColor rgb="FF800080"/>
      <rgbColor rgb="FF800000"/>
      <rgbColor rgb="FF045E65"/>
      <rgbColor rgb="FF0000FF"/>
      <rgbColor rgb="FF00CCFF"/>
      <rgbColor rgb="FFE3F2FD"/>
      <rgbColor rgb="FFE8F5E9"/>
      <rgbColor rgb="FFFFF3CD"/>
      <rgbColor rgb="FFEDE7F6"/>
      <rgbColor rgb="FFF7EEE9"/>
      <rgbColor rgb="FFCE93D8"/>
      <rgbColor rgb="FFFFEBEE"/>
      <rgbColor rgb="FF4F81BD"/>
      <rgbColor rgb="FF33CCCC"/>
      <rgbColor rgb="FF99CC00"/>
      <rgbColor rgb="FFFFCC00"/>
      <rgbColor rgb="FFFF9900"/>
      <rgbColor rgb="FFE65100"/>
      <rgbColor rgb="FF757575"/>
      <rgbColor rgb="FF969696"/>
      <rgbColor rgb="FF0D3B6E"/>
      <rgbColor rgb="FF2E7D32"/>
      <rgbColor rgb="FF003300"/>
      <rgbColor rgb="FF1A1A2E"/>
      <rgbColor rgb="FFB71C1C"/>
      <rgbColor rgb="FF5B2D8E"/>
      <rgbColor rgb="FF4D2990"/>
      <rgbColor rgb="FF2D1B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Ventas pagadas por mes (S/)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RESUMEN ANUAL'!$B$2</c:f>
              <c:strCache>
                <c:ptCount val="1"/>
                <c:pt idx="0">
                  <c:v>💰 VENTAS PAGADAS (S/)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E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RESUMEN ANUAL'!$A$3:$A$14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'📊 RESUMEN ANUAL'!$B$3:$B$14</c:f>
              <c:numCache>
                <c:formatCode>"S/ "#,##0.00</c:formatCode>
                <c:ptCount val="12"/>
                <c:pt idx="0">
                  <c:v>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D-6E4E-8373-14065BCA5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02248"/>
        <c:axId val="96505977"/>
      </c:barChart>
      <c:catAx>
        <c:axId val="486022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6505977"/>
        <c:crosses val="autoZero"/>
        <c:auto val="1"/>
        <c:lblAlgn val="ctr"/>
        <c:lblOffset val="100"/>
        <c:noMultiLvlLbl val="0"/>
      </c:catAx>
      <c:valAx>
        <c:axId val="96505977"/>
        <c:scaling>
          <c:orientation val="minMax"/>
        </c:scaling>
        <c:delete val="0"/>
        <c:axPos val="l"/>
        <c:numFmt formatCode="&quot;S/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86022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1313640</xdr:colOff>
      <xdr:row>4</xdr:row>
      <xdr:rowOff>199440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1320" y="0"/>
          <a:ext cx="3428280" cy="1266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17</xdr:col>
      <xdr:colOff>472680</xdr:colOff>
      <xdr:row>14</xdr:row>
      <xdr:rowOff>164520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22697"/>
    <pageSetUpPr fitToPage="1"/>
  </sheetPr>
  <dimension ref="B1:E32"/>
  <sheetViews>
    <sheetView showGridLines="0" topLeftCell="A20" zoomScale="219" zoomScaleNormal="219" workbookViewId="0">
      <selection activeCell="D4" sqref="D4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3" width="22" customWidth="1"/>
    <col min="4" max="4" width="50" customWidth="1"/>
    <col min="5" max="5" width="16" customWidth="1"/>
    <col min="6" max="6" width="3" customWidth="1"/>
  </cols>
  <sheetData>
    <row r="1" spans="2:5" ht="21" customHeight="1" x14ac:dyDescent="0.2">
      <c r="B1" s="2"/>
      <c r="C1" s="2"/>
      <c r="D1" s="2"/>
      <c r="E1" s="2"/>
    </row>
    <row r="2" spans="2:5" ht="21" customHeight="1" x14ac:dyDescent="0.2">
      <c r="B2" s="2"/>
      <c r="C2" s="2"/>
      <c r="D2" s="2"/>
      <c r="E2" s="2"/>
    </row>
    <row r="3" spans="2:5" ht="21" customHeight="1" x14ac:dyDescent="0.2">
      <c r="B3" s="2"/>
      <c r="C3" s="2"/>
      <c r="D3" s="2"/>
      <c r="E3" s="2"/>
    </row>
    <row r="4" spans="2:5" ht="21" customHeight="1" x14ac:dyDescent="0.2">
      <c r="B4" s="2"/>
      <c r="C4" s="2"/>
      <c r="D4" s="2"/>
      <c r="E4" s="2"/>
    </row>
    <row r="5" spans="2:5" ht="21" customHeight="1" x14ac:dyDescent="0.2">
      <c r="B5" s="2"/>
      <c r="C5" s="2"/>
      <c r="D5" s="2"/>
      <c r="E5" s="2"/>
    </row>
    <row r="6" spans="2:5" ht="30" customHeight="1" x14ac:dyDescent="0.2">
      <c r="B6" s="91" t="s">
        <v>0</v>
      </c>
      <c r="C6" s="91"/>
      <c r="D6" s="91"/>
      <c r="E6" s="91"/>
    </row>
    <row r="7" spans="2:5" ht="25.5" customHeight="1" x14ac:dyDescent="0.2">
      <c r="B7" s="92" t="s">
        <v>1</v>
      </c>
      <c r="C7" s="92"/>
      <c r="D7" s="92"/>
      <c r="E7" s="92"/>
    </row>
    <row r="9" spans="2:5" ht="21.75" customHeight="1" x14ac:dyDescent="0.2">
      <c r="B9" s="90" t="s">
        <v>2</v>
      </c>
      <c r="C9" s="90"/>
      <c r="D9" s="90"/>
      <c r="E9" s="90"/>
    </row>
    <row r="10" spans="2:5" ht="15" customHeight="1" x14ac:dyDescent="0.2">
      <c r="B10" s="3" t="s">
        <v>3</v>
      </c>
      <c r="C10" s="4" t="s">
        <v>4</v>
      </c>
      <c r="D10" s="5" t="s">
        <v>5</v>
      </c>
    </row>
    <row r="11" spans="2:5" ht="15" customHeight="1" x14ac:dyDescent="0.2">
      <c r="B11" s="3" t="s">
        <v>6</v>
      </c>
      <c r="C11" s="6">
        <v>0.1</v>
      </c>
      <c r="D11" s="5" t="s">
        <v>7</v>
      </c>
    </row>
    <row r="12" spans="2:5" ht="15" customHeight="1" x14ac:dyDescent="0.2">
      <c r="B12" s="3" t="s">
        <v>8</v>
      </c>
      <c r="C12" s="7">
        <v>2026</v>
      </c>
      <c r="D12" s="5" t="s">
        <v>9</v>
      </c>
    </row>
    <row r="14" spans="2:5" ht="21.75" customHeight="1" x14ac:dyDescent="0.2">
      <c r="B14" s="90" t="s">
        <v>10</v>
      </c>
      <c r="C14" s="90"/>
      <c r="D14" s="90"/>
      <c r="E14" s="90"/>
    </row>
    <row r="15" spans="2:5" ht="30" customHeight="1" x14ac:dyDescent="0.2">
      <c r="B15" s="8" t="s">
        <v>11</v>
      </c>
      <c r="C15" s="88" t="s">
        <v>12</v>
      </c>
      <c r="D15" s="88"/>
      <c r="E15" s="88"/>
    </row>
    <row r="16" spans="2:5" ht="15" customHeight="1" x14ac:dyDescent="0.2">
      <c r="B16" s="89" t="s">
        <v>13</v>
      </c>
      <c r="C16" s="89"/>
      <c r="D16" s="89"/>
      <c r="E16" s="89"/>
    </row>
    <row r="17" spans="2:5" ht="30" customHeight="1" x14ac:dyDescent="0.2">
      <c r="B17" s="8" t="s">
        <v>14</v>
      </c>
      <c r="C17" s="88" t="s">
        <v>15</v>
      </c>
      <c r="D17" s="88"/>
      <c r="E17" s="88"/>
    </row>
    <row r="18" spans="2:5" ht="15" customHeight="1" x14ac:dyDescent="0.2">
      <c r="B18" s="89" t="s">
        <v>16</v>
      </c>
      <c r="C18" s="89"/>
      <c r="D18" s="89"/>
      <c r="E18" s="89"/>
    </row>
    <row r="19" spans="2:5" ht="30" customHeight="1" x14ac:dyDescent="0.2">
      <c r="B19" s="8" t="s">
        <v>17</v>
      </c>
      <c r="C19" s="88" t="s">
        <v>18</v>
      </c>
      <c r="D19" s="88"/>
      <c r="E19" s="88"/>
    </row>
    <row r="20" spans="2:5" ht="15" customHeight="1" x14ac:dyDescent="0.2">
      <c r="B20" s="89" t="s">
        <v>19</v>
      </c>
      <c r="C20" s="89"/>
      <c r="D20" s="89"/>
      <c r="E20" s="89"/>
    </row>
    <row r="21" spans="2:5" ht="30" customHeight="1" x14ac:dyDescent="0.2">
      <c r="B21" s="8" t="s">
        <v>20</v>
      </c>
      <c r="C21" s="88" t="s">
        <v>21</v>
      </c>
      <c r="D21" s="88"/>
      <c r="E21" s="88"/>
    </row>
    <row r="22" spans="2:5" ht="15" customHeight="1" x14ac:dyDescent="0.2">
      <c r="B22" s="89" t="s">
        <v>22</v>
      </c>
      <c r="C22" s="89"/>
      <c r="D22" s="89"/>
      <c r="E22" s="89"/>
    </row>
    <row r="24" spans="2:5" ht="21.75" customHeight="1" x14ac:dyDescent="0.2">
      <c r="B24" s="90" t="s">
        <v>23</v>
      </c>
      <c r="C24" s="90"/>
      <c r="D24" s="90"/>
      <c r="E24" s="90"/>
    </row>
    <row r="25" spans="2:5" ht="15" customHeight="1" x14ac:dyDescent="0.2">
      <c r="B25" s="9" t="s">
        <v>24</v>
      </c>
      <c r="C25" s="86" t="s">
        <v>25</v>
      </c>
      <c r="D25" s="86"/>
      <c r="E25" s="86"/>
    </row>
    <row r="26" spans="2:5" ht="15" customHeight="1" x14ac:dyDescent="0.2">
      <c r="B26" s="10" t="s">
        <v>26</v>
      </c>
      <c r="C26" s="86" t="s">
        <v>27</v>
      </c>
      <c r="D26" s="86"/>
      <c r="E26" s="86"/>
    </row>
    <row r="27" spans="2:5" ht="15" customHeight="1" x14ac:dyDescent="0.2">
      <c r="B27" s="11" t="s">
        <v>28</v>
      </c>
      <c r="C27" s="86" t="s">
        <v>29</v>
      </c>
      <c r="D27" s="86"/>
      <c r="E27" s="86"/>
    </row>
    <row r="28" spans="2:5" ht="15" customHeight="1" x14ac:dyDescent="0.2">
      <c r="B28" s="12" t="s">
        <v>30</v>
      </c>
      <c r="C28" s="86" t="s">
        <v>31</v>
      </c>
      <c r="D28" s="86"/>
      <c r="E28" s="86"/>
    </row>
    <row r="29" spans="2:5" ht="15" customHeight="1" x14ac:dyDescent="0.2">
      <c r="B29" s="13" t="s">
        <v>32</v>
      </c>
      <c r="C29" s="86" t="s">
        <v>33</v>
      </c>
      <c r="D29" s="86"/>
      <c r="E29" s="86"/>
    </row>
    <row r="31" spans="2:5" ht="25.5" customHeight="1" x14ac:dyDescent="0.2">
      <c r="B31" s="87" t="s">
        <v>34</v>
      </c>
      <c r="C31" s="87"/>
      <c r="D31" s="87"/>
      <c r="E31" s="87"/>
    </row>
    <row r="32" spans="2:5" ht="25.5" customHeight="1" x14ac:dyDescent="0.2">
      <c r="B32" s="87"/>
      <c r="C32" s="87"/>
      <c r="D32" s="87"/>
      <c r="E32" s="87"/>
    </row>
  </sheetData>
  <mergeCells count="19">
    <mergeCell ref="B6:E6"/>
    <mergeCell ref="B7:E7"/>
    <mergeCell ref="B9:E9"/>
    <mergeCell ref="B14:E14"/>
    <mergeCell ref="C15:E15"/>
    <mergeCell ref="B16:E16"/>
    <mergeCell ref="C17:E17"/>
    <mergeCell ref="B18:E18"/>
    <mergeCell ref="C19:E19"/>
    <mergeCell ref="B20:E20"/>
    <mergeCell ref="C27:E27"/>
    <mergeCell ref="C28:E28"/>
    <mergeCell ref="C29:E29"/>
    <mergeCell ref="B31:E32"/>
    <mergeCell ref="C21:E21"/>
    <mergeCell ref="B22:E22"/>
    <mergeCell ref="B24:E24"/>
    <mergeCell ref="C25:E25"/>
    <mergeCell ref="C26:E26"/>
  </mergeCells>
  <printOptions horizontalCentered="1"/>
  <pageMargins left="0.3" right="0.3" top="0.4" bottom="0.4" header="0.511811023622047" footer="0.511811023622047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2D8E"/>
    <pageSetUpPr fitToPage="1"/>
  </sheetPr>
  <dimension ref="A1:J69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6" sqref="D6"/>
    </sheetView>
  </sheetViews>
  <sheetFormatPr baseColWidth="10" defaultColWidth="8.6640625" defaultRowHeight="15" x14ac:dyDescent="0.2"/>
  <cols>
    <col min="1" max="1" width="4" customWidth="1"/>
    <col min="2" max="2" width="15" customWidth="1"/>
    <col min="3" max="3" width="30" customWidth="1"/>
    <col min="4" max="4" width="15" customWidth="1"/>
    <col min="5" max="5" width="11" customWidth="1"/>
    <col min="6" max="6" width="16" customWidth="1"/>
    <col min="7" max="7" width="14" customWidth="1"/>
    <col min="8" max="8" width="12" customWidth="1"/>
    <col min="9" max="9" width="14" customWidth="1"/>
    <col min="10" max="10" width="16" customWidth="1"/>
  </cols>
  <sheetData>
    <row r="1" spans="1:10" ht="27.75" customHeight="1" x14ac:dyDescent="0.2">
      <c r="A1" s="95" t="s">
        <v>35</v>
      </c>
      <c r="B1" s="95"/>
      <c r="C1" s="95"/>
      <c r="D1" s="95"/>
      <c r="E1" s="95"/>
      <c r="F1" s="95"/>
      <c r="G1" s="95"/>
      <c r="H1" s="95"/>
      <c r="I1" s="95"/>
      <c r="J1" s="95"/>
    </row>
    <row r="2" spans="1:10" ht="24" customHeight="1" x14ac:dyDescent="0.2">
      <c r="A2" s="80" t="s">
        <v>36</v>
      </c>
      <c r="B2" s="80"/>
      <c r="C2" s="80"/>
      <c r="D2" s="80"/>
      <c r="E2" s="80"/>
      <c r="F2" s="80"/>
      <c r="G2" s="80"/>
      <c r="H2" s="80"/>
      <c r="I2" s="80"/>
      <c r="J2" s="80"/>
    </row>
    <row r="3" spans="1:10" ht="15" customHeight="1" x14ac:dyDescent="0.2">
      <c r="A3" s="96" t="s">
        <v>37</v>
      </c>
      <c r="B3" s="96"/>
      <c r="C3" s="96"/>
      <c r="D3" s="96"/>
      <c r="E3" s="96"/>
      <c r="F3" s="14">
        <f>'🏠 INICIO'!$C$11</f>
        <v>0.1</v>
      </c>
      <c r="G3" s="97" t="s">
        <v>38</v>
      </c>
      <c r="H3" s="97"/>
      <c r="I3" s="97"/>
      <c r="J3" s="97"/>
    </row>
    <row r="4" spans="1:10" ht="33.75" customHeight="1" x14ac:dyDescent="0.2">
      <c r="A4" s="15" t="s">
        <v>39</v>
      </c>
      <c r="B4" s="15" t="s">
        <v>40</v>
      </c>
      <c r="C4" s="15" t="s">
        <v>41</v>
      </c>
      <c r="D4" s="16" t="s">
        <v>42</v>
      </c>
      <c r="E4" s="17" t="s">
        <v>43</v>
      </c>
      <c r="F4" s="18" t="s">
        <v>44</v>
      </c>
      <c r="G4" s="19" t="s">
        <v>45</v>
      </c>
      <c r="H4" s="15" t="s">
        <v>46</v>
      </c>
      <c r="I4" s="15" t="s">
        <v>47</v>
      </c>
      <c r="J4" s="19" t="s">
        <v>48</v>
      </c>
    </row>
    <row r="5" spans="1:10" ht="15" customHeight="1" x14ac:dyDescent="0.2">
      <c r="A5" s="20">
        <v>1</v>
      </c>
      <c r="B5" s="21" t="s">
        <v>49</v>
      </c>
      <c r="C5" s="1" t="s">
        <v>50</v>
      </c>
      <c r="D5" s="22">
        <v>20</v>
      </c>
      <c r="E5" s="23">
        <v>0.3</v>
      </c>
      <c r="F5" s="24">
        <f t="shared" ref="F5:F36" si="0">IF(D5&lt;&gt;"",D5/(1-E5)/(1-H5),"")</f>
        <v>31.746031746031747</v>
      </c>
      <c r="G5" s="25">
        <f t="shared" ref="G5:G36" si="1">IF(D5&lt;&gt;"",D5/(1-E5)-D5,"")</f>
        <v>8.571428571428573</v>
      </c>
      <c r="H5" s="26">
        <f>'🏠 INICIO'!$C$11</f>
        <v>0.1</v>
      </c>
      <c r="I5" s="27">
        <f t="shared" ref="I5:I36" si="2">IF(F5&lt;&gt;"",F5*H5,"")</f>
        <v>3.1746031746031749</v>
      </c>
      <c r="J5" s="28">
        <f t="shared" ref="J5:J36" si="3">IF(G5&lt;&gt;"",G5,"")</f>
        <v>8.571428571428573</v>
      </c>
    </row>
    <row r="6" spans="1:10" ht="15" customHeight="1" x14ac:dyDescent="0.2">
      <c r="A6" s="29">
        <v>2</v>
      </c>
      <c r="B6" s="30" t="s">
        <v>51</v>
      </c>
      <c r="C6" s="31" t="s">
        <v>52</v>
      </c>
      <c r="D6" s="22">
        <v>15</v>
      </c>
      <c r="E6" s="23">
        <v>0.3</v>
      </c>
      <c r="F6" s="24">
        <f t="shared" si="0"/>
        <v>23.80952380952381</v>
      </c>
      <c r="G6" s="25">
        <f t="shared" si="1"/>
        <v>6.4285714285714306</v>
      </c>
      <c r="H6" s="26">
        <f>'🏠 INICIO'!$C$11</f>
        <v>0.1</v>
      </c>
      <c r="I6" s="27">
        <f t="shared" si="2"/>
        <v>2.3809523809523809</v>
      </c>
      <c r="J6" s="28">
        <f t="shared" si="3"/>
        <v>6.4285714285714306</v>
      </c>
    </row>
    <row r="7" spans="1:10" ht="15" customHeight="1" x14ac:dyDescent="0.2">
      <c r="A7" s="20">
        <v>3</v>
      </c>
      <c r="B7" s="21" t="s">
        <v>53</v>
      </c>
      <c r="C7" s="1" t="s">
        <v>54</v>
      </c>
      <c r="D7" s="22">
        <v>18</v>
      </c>
      <c r="E7" s="23">
        <v>0.35</v>
      </c>
      <c r="F7" s="24">
        <f t="shared" si="0"/>
        <v>30.769230769230766</v>
      </c>
      <c r="G7" s="25">
        <f t="shared" si="1"/>
        <v>9.6923076923076898</v>
      </c>
      <c r="H7" s="26">
        <f>'🏠 INICIO'!$C$11</f>
        <v>0.1</v>
      </c>
      <c r="I7" s="27">
        <f t="shared" si="2"/>
        <v>3.0769230769230766</v>
      </c>
      <c r="J7" s="28">
        <f t="shared" si="3"/>
        <v>9.6923076923076898</v>
      </c>
    </row>
    <row r="8" spans="1:10" ht="15" customHeight="1" x14ac:dyDescent="0.2">
      <c r="A8" s="29">
        <v>4</v>
      </c>
      <c r="B8" s="30" t="s">
        <v>55</v>
      </c>
      <c r="C8" s="31" t="s">
        <v>56</v>
      </c>
      <c r="D8" s="22">
        <v>65</v>
      </c>
      <c r="E8" s="23">
        <v>0.36</v>
      </c>
      <c r="F8" s="24">
        <f t="shared" si="0"/>
        <v>112.84722222222221</v>
      </c>
      <c r="G8" s="25">
        <f t="shared" si="1"/>
        <v>36.5625</v>
      </c>
      <c r="H8" s="26">
        <f>'🏠 INICIO'!$C$11</f>
        <v>0.1</v>
      </c>
      <c r="I8" s="27">
        <f t="shared" si="2"/>
        <v>11.284722222222221</v>
      </c>
      <c r="J8" s="28">
        <f t="shared" si="3"/>
        <v>36.5625</v>
      </c>
    </row>
    <row r="9" spans="1:10" ht="15" customHeight="1" x14ac:dyDescent="0.2">
      <c r="A9" s="20">
        <v>5</v>
      </c>
      <c r="B9" s="21" t="s">
        <v>57</v>
      </c>
      <c r="C9" s="1" t="s">
        <v>58</v>
      </c>
      <c r="D9" s="22">
        <v>35.5</v>
      </c>
      <c r="E9" s="23">
        <v>0.3</v>
      </c>
      <c r="F9" s="24">
        <f t="shared" si="0"/>
        <v>56.349206349206348</v>
      </c>
      <c r="G9" s="25">
        <f t="shared" si="1"/>
        <v>15.214285714285715</v>
      </c>
      <c r="H9" s="26">
        <f>'🏠 INICIO'!$C$11</f>
        <v>0.1</v>
      </c>
      <c r="I9" s="27">
        <f t="shared" si="2"/>
        <v>5.6349206349206353</v>
      </c>
      <c r="J9" s="28">
        <f t="shared" si="3"/>
        <v>15.214285714285715</v>
      </c>
    </row>
    <row r="10" spans="1:10" ht="15" customHeight="1" x14ac:dyDescent="0.2">
      <c r="A10" s="29">
        <v>6</v>
      </c>
      <c r="B10" s="30"/>
      <c r="C10" s="31"/>
      <c r="D10" s="22"/>
      <c r="E10" s="23"/>
      <c r="F10" s="24" t="str">
        <f t="shared" si="0"/>
        <v/>
      </c>
      <c r="G10" s="25" t="str">
        <f t="shared" si="1"/>
        <v/>
      </c>
      <c r="H10" s="26">
        <f>'🏠 INICIO'!$C$11</f>
        <v>0.1</v>
      </c>
      <c r="I10" s="27" t="str">
        <f t="shared" si="2"/>
        <v/>
      </c>
      <c r="J10" s="28" t="str">
        <f t="shared" si="3"/>
        <v/>
      </c>
    </row>
    <row r="11" spans="1:10" ht="15" customHeight="1" x14ac:dyDescent="0.2">
      <c r="A11" s="20">
        <v>7</v>
      </c>
      <c r="B11" s="21"/>
      <c r="C11" s="1"/>
      <c r="D11" s="22"/>
      <c r="E11" s="23"/>
      <c r="F11" s="24" t="str">
        <f t="shared" si="0"/>
        <v/>
      </c>
      <c r="G11" s="25" t="str">
        <f t="shared" si="1"/>
        <v/>
      </c>
      <c r="H11" s="26">
        <f>'🏠 INICIO'!$C$11</f>
        <v>0.1</v>
      </c>
      <c r="I11" s="27" t="str">
        <f t="shared" si="2"/>
        <v/>
      </c>
      <c r="J11" s="28" t="str">
        <f t="shared" si="3"/>
        <v/>
      </c>
    </row>
    <row r="12" spans="1:10" ht="15" customHeight="1" x14ac:dyDescent="0.2">
      <c r="A12" s="29">
        <v>8</v>
      </c>
      <c r="B12" s="30"/>
      <c r="C12" s="31"/>
      <c r="D12" s="22"/>
      <c r="E12" s="23"/>
      <c r="F12" s="24" t="str">
        <f t="shared" si="0"/>
        <v/>
      </c>
      <c r="G12" s="25" t="str">
        <f t="shared" si="1"/>
        <v/>
      </c>
      <c r="H12" s="26">
        <f>'🏠 INICIO'!$C$11</f>
        <v>0.1</v>
      </c>
      <c r="I12" s="27" t="str">
        <f t="shared" si="2"/>
        <v/>
      </c>
      <c r="J12" s="28" t="str">
        <f t="shared" si="3"/>
        <v/>
      </c>
    </row>
    <row r="13" spans="1:10" ht="15" customHeight="1" x14ac:dyDescent="0.2">
      <c r="A13" s="20">
        <v>9</v>
      </c>
      <c r="B13" s="21"/>
      <c r="C13" s="1"/>
      <c r="D13" s="22"/>
      <c r="E13" s="23"/>
      <c r="F13" s="24" t="str">
        <f t="shared" si="0"/>
        <v/>
      </c>
      <c r="G13" s="25" t="str">
        <f t="shared" si="1"/>
        <v/>
      </c>
      <c r="H13" s="26">
        <f>'🏠 INICIO'!$C$11</f>
        <v>0.1</v>
      </c>
      <c r="I13" s="27" t="str">
        <f t="shared" si="2"/>
        <v/>
      </c>
      <c r="J13" s="28" t="str">
        <f t="shared" si="3"/>
        <v/>
      </c>
    </row>
    <row r="14" spans="1:10" ht="15" customHeight="1" x14ac:dyDescent="0.2">
      <c r="A14" s="29">
        <v>10</v>
      </c>
      <c r="B14" s="30"/>
      <c r="C14" s="31"/>
      <c r="D14" s="22"/>
      <c r="E14" s="23"/>
      <c r="F14" s="24" t="str">
        <f t="shared" si="0"/>
        <v/>
      </c>
      <c r="G14" s="25" t="str">
        <f t="shared" si="1"/>
        <v/>
      </c>
      <c r="H14" s="26">
        <f>'🏠 INICIO'!$C$11</f>
        <v>0.1</v>
      </c>
      <c r="I14" s="27" t="str">
        <f t="shared" si="2"/>
        <v/>
      </c>
      <c r="J14" s="28" t="str">
        <f t="shared" si="3"/>
        <v/>
      </c>
    </row>
    <row r="15" spans="1:10" ht="15" customHeight="1" x14ac:dyDescent="0.2">
      <c r="A15" s="20">
        <v>11</v>
      </c>
      <c r="B15" s="21"/>
      <c r="C15" s="1"/>
      <c r="D15" s="22"/>
      <c r="E15" s="23"/>
      <c r="F15" s="24" t="str">
        <f t="shared" si="0"/>
        <v/>
      </c>
      <c r="G15" s="25" t="str">
        <f t="shared" si="1"/>
        <v/>
      </c>
      <c r="H15" s="26">
        <f>'🏠 INICIO'!$C$11</f>
        <v>0.1</v>
      </c>
      <c r="I15" s="27" t="str">
        <f t="shared" si="2"/>
        <v/>
      </c>
      <c r="J15" s="28" t="str">
        <f t="shared" si="3"/>
        <v/>
      </c>
    </row>
    <row r="16" spans="1:10" ht="15" customHeight="1" x14ac:dyDescent="0.2">
      <c r="A16" s="29">
        <v>12</v>
      </c>
      <c r="B16" s="30"/>
      <c r="C16" s="31"/>
      <c r="D16" s="22"/>
      <c r="E16" s="23"/>
      <c r="F16" s="24" t="str">
        <f t="shared" si="0"/>
        <v/>
      </c>
      <c r="G16" s="25" t="str">
        <f t="shared" si="1"/>
        <v/>
      </c>
      <c r="H16" s="26">
        <f>'🏠 INICIO'!$C$11</f>
        <v>0.1</v>
      </c>
      <c r="I16" s="27" t="str">
        <f t="shared" si="2"/>
        <v/>
      </c>
      <c r="J16" s="28" t="str">
        <f t="shared" si="3"/>
        <v/>
      </c>
    </row>
    <row r="17" spans="1:10" ht="15" customHeight="1" x14ac:dyDescent="0.2">
      <c r="A17" s="20">
        <v>13</v>
      </c>
      <c r="B17" s="21"/>
      <c r="C17" s="1"/>
      <c r="D17" s="22"/>
      <c r="E17" s="23"/>
      <c r="F17" s="24" t="str">
        <f t="shared" si="0"/>
        <v/>
      </c>
      <c r="G17" s="25" t="str">
        <f t="shared" si="1"/>
        <v/>
      </c>
      <c r="H17" s="26">
        <f>'🏠 INICIO'!$C$11</f>
        <v>0.1</v>
      </c>
      <c r="I17" s="27" t="str">
        <f t="shared" si="2"/>
        <v/>
      </c>
      <c r="J17" s="28" t="str">
        <f t="shared" si="3"/>
        <v/>
      </c>
    </row>
    <row r="18" spans="1:10" ht="15" customHeight="1" x14ac:dyDescent="0.2">
      <c r="A18" s="29">
        <v>14</v>
      </c>
      <c r="B18" s="30"/>
      <c r="C18" s="31"/>
      <c r="D18" s="22"/>
      <c r="E18" s="23"/>
      <c r="F18" s="24" t="str">
        <f t="shared" si="0"/>
        <v/>
      </c>
      <c r="G18" s="25" t="str">
        <f t="shared" si="1"/>
        <v/>
      </c>
      <c r="H18" s="26">
        <f>'🏠 INICIO'!$C$11</f>
        <v>0.1</v>
      </c>
      <c r="I18" s="27" t="str">
        <f t="shared" si="2"/>
        <v/>
      </c>
      <c r="J18" s="28" t="str">
        <f t="shared" si="3"/>
        <v/>
      </c>
    </row>
    <row r="19" spans="1:10" ht="15" customHeight="1" x14ac:dyDescent="0.2">
      <c r="A19" s="20">
        <v>15</v>
      </c>
      <c r="B19" s="21"/>
      <c r="C19" s="1"/>
      <c r="D19" s="22"/>
      <c r="E19" s="23"/>
      <c r="F19" s="24" t="str">
        <f t="shared" si="0"/>
        <v/>
      </c>
      <c r="G19" s="25" t="str">
        <f t="shared" si="1"/>
        <v/>
      </c>
      <c r="H19" s="26">
        <f>'🏠 INICIO'!$C$11</f>
        <v>0.1</v>
      </c>
      <c r="I19" s="27" t="str">
        <f t="shared" si="2"/>
        <v/>
      </c>
      <c r="J19" s="28" t="str">
        <f t="shared" si="3"/>
        <v/>
      </c>
    </row>
    <row r="20" spans="1:10" ht="15" customHeight="1" x14ac:dyDescent="0.2">
      <c r="A20" s="29">
        <v>16</v>
      </c>
      <c r="B20" s="30"/>
      <c r="C20" s="31"/>
      <c r="D20" s="22"/>
      <c r="E20" s="23"/>
      <c r="F20" s="24" t="str">
        <f t="shared" si="0"/>
        <v/>
      </c>
      <c r="G20" s="25" t="str">
        <f t="shared" si="1"/>
        <v/>
      </c>
      <c r="H20" s="26">
        <f>'🏠 INICIO'!$C$11</f>
        <v>0.1</v>
      </c>
      <c r="I20" s="27" t="str">
        <f t="shared" si="2"/>
        <v/>
      </c>
      <c r="J20" s="28" t="str">
        <f t="shared" si="3"/>
        <v/>
      </c>
    </row>
    <row r="21" spans="1:10" ht="15" customHeight="1" x14ac:dyDescent="0.2">
      <c r="A21" s="20">
        <v>17</v>
      </c>
      <c r="B21" s="21"/>
      <c r="C21" s="1"/>
      <c r="D21" s="22"/>
      <c r="E21" s="23"/>
      <c r="F21" s="24" t="str">
        <f t="shared" si="0"/>
        <v/>
      </c>
      <c r="G21" s="25" t="str">
        <f t="shared" si="1"/>
        <v/>
      </c>
      <c r="H21" s="26">
        <f>'🏠 INICIO'!$C$11</f>
        <v>0.1</v>
      </c>
      <c r="I21" s="27" t="str">
        <f t="shared" si="2"/>
        <v/>
      </c>
      <c r="J21" s="28" t="str">
        <f t="shared" si="3"/>
        <v/>
      </c>
    </row>
    <row r="22" spans="1:10" ht="15" customHeight="1" x14ac:dyDescent="0.2">
      <c r="A22" s="29">
        <v>18</v>
      </c>
      <c r="B22" s="30"/>
      <c r="C22" s="31"/>
      <c r="D22" s="22"/>
      <c r="E22" s="23"/>
      <c r="F22" s="24" t="str">
        <f t="shared" si="0"/>
        <v/>
      </c>
      <c r="G22" s="25" t="str">
        <f t="shared" si="1"/>
        <v/>
      </c>
      <c r="H22" s="26">
        <f>'🏠 INICIO'!$C$11</f>
        <v>0.1</v>
      </c>
      <c r="I22" s="27" t="str">
        <f t="shared" si="2"/>
        <v/>
      </c>
      <c r="J22" s="28" t="str">
        <f t="shared" si="3"/>
        <v/>
      </c>
    </row>
    <row r="23" spans="1:10" ht="15" customHeight="1" x14ac:dyDescent="0.2">
      <c r="A23" s="20">
        <v>19</v>
      </c>
      <c r="B23" s="21"/>
      <c r="C23" s="1"/>
      <c r="D23" s="22"/>
      <c r="E23" s="23"/>
      <c r="F23" s="24" t="str">
        <f t="shared" si="0"/>
        <v/>
      </c>
      <c r="G23" s="25" t="str">
        <f t="shared" si="1"/>
        <v/>
      </c>
      <c r="H23" s="26">
        <f>'🏠 INICIO'!$C$11</f>
        <v>0.1</v>
      </c>
      <c r="I23" s="27" t="str">
        <f t="shared" si="2"/>
        <v/>
      </c>
      <c r="J23" s="28" t="str">
        <f t="shared" si="3"/>
        <v/>
      </c>
    </row>
    <row r="24" spans="1:10" ht="15" customHeight="1" x14ac:dyDescent="0.2">
      <c r="A24" s="29">
        <v>20</v>
      </c>
      <c r="B24" s="30"/>
      <c r="C24" s="31"/>
      <c r="D24" s="22"/>
      <c r="E24" s="23"/>
      <c r="F24" s="24" t="str">
        <f t="shared" si="0"/>
        <v/>
      </c>
      <c r="G24" s="25" t="str">
        <f t="shared" si="1"/>
        <v/>
      </c>
      <c r="H24" s="26">
        <f>'🏠 INICIO'!$C$11</f>
        <v>0.1</v>
      </c>
      <c r="I24" s="27" t="str">
        <f t="shared" si="2"/>
        <v/>
      </c>
      <c r="J24" s="28" t="str">
        <f t="shared" si="3"/>
        <v/>
      </c>
    </row>
    <row r="25" spans="1:10" ht="15" customHeight="1" x14ac:dyDescent="0.2">
      <c r="A25" s="20">
        <v>21</v>
      </c>
      <c r="B25" s="21"/>
      <c r="C25" s="1"/>
      <c r="D25" s="22"/>
      <c r="E25" s="23"/>
      <c r="F25" s="24" t="str">
        <f t="shared" si="0"/>
        <v/>
      </c>
      <c r="G25" s="25" t="str">
        <f t="shared" si="1"/>
        <v/>
      </c>
      <c r="H25" s="26">
        <f>'🏠 INICIO'!$C$11</f>
        <v>0.1</v>
      </c>
      <c r="I25" s="27" t="str">
        <f t="shared" si="2"/>
        <v/>
      </c>
      <c r="J25" s="28" t="str">
        <f t="shared" si="3"/>
        <v/>
      </c>
    </row>
    <row r="26" spans="1:10" ht="15" customHeight="1" x14ac:dyDescent="0.2">
      <c r="A26" s="29">
        <v>22</v>
      </c>
      <c r="B26" s="30"/>
      <c r="C26" s="31"/>
      <c r="D26" s="22"/>
      <c r="E26" s="23"/>
      <c r="F26" s="24" t="str">
        <f t="shared" si="0"/>
        <v/>
      </c>
      <c r="G26" s="25" t="str">
        <f t="shared" si="1"/>
        <v/>
      </c>
      <c r="H26" s="26">
        <f>'🏠 INICIO'!$C$11</f>
        <v>0.1</v>
      </c>
      <c r="I26" s="27" t="str">
        <f t="shared" si="2"/>
        <v/>
      </c>
      <c r="J26" s="28" t="str">
        <f t="shared" si="3"/>
        <v/>
      </c>
    </row>
    <row r="27" spans="1:10" ht="15" customHeight="1" x14ac:dyDescent="0.2">
      <c r="A27" s="20">
        <v>23</v>
      </c>
      <c r="B27" s="21"/>
      <c r="C27" s="1"/>
      <c r="D27" s="22"/>
      <c r="E27" s="23"/>
      <c r="F27" s="24" t="str">
        <f t="shared" si="0"/>
        <v/>
      </c>
      <c r="G27" s="25" t="str">
        <f t="shared" si="1"/>
        <v/>
      </c>
      <c r="H27" s="26">
        <f>'🏠 INICIO'!$C$11</f>
        <v>0.1</v>
      </c>
      <c r="I27" s="27" t="str">
        <f t="shared" si="2"/>
        <v/>
      </c>
      <c r="J27" s="28" t="str">
        <f t="shared" si="3"/>
        <v/>
      </c>
    </row>
    <row r="28" spans="1:10" ht="15" customHeight="1" x14ac:dyDescent="0.2">
      <c r="A28" s="29">
        <v>24</v>
      </c>
      <c r="B28" s="30"/>
      <c r="C28" s="31"/>
      <c r="D28" s="22"/>
      <c r="E28" s="23"/>
      <c r="F28" s="24" t="str">
        <f t="shared" si="0"/>
        <v/>
      </c>
      <c r="G28" s="25" t="str">
        <f t="shared" si="1"/>
        <v/>
      </c>
      <c r="H28" s="26">
        <f>'🏠 INICIO'!$C$11</f>
        <v>0.1</v>
      </c>
      <c r="I28" s="27" t="str">
        <f t="shared" si="2"/>
        <v/>
      </c>
      <c r="J28" s="28" t="str">
        <f t="shared" si="3"/>
        <v/>
      </c>
    </row>
    <row r="29" spans="1:10" ht="15" customHeight="1" x14ac:dyDescent="0.2">
      <c r="A29" s="20">
        <v>25</v>
      </c>
      <c r="B29" s="21"/>
      <c r="C29" s="1"/>
      <c r="D29" s="22"/>
      <c r="E29" s="23"/>
      <c r="F29" s="24" t="str">
        <f t="shared" si="0"/>
        <v/>
      </c>
      <c r="G29" s="25" t="str">
        <f t="shared" si="1"/>
        <v/>
      </c>
      <c r="H29" s="26">
        <f>'🏠 INICIO'!$C$11</f>
        <v>0.1</v>
      </c>
      <c r="I29" s="27" t="str">
        <f t="shared" si="2"/>
        <v/>
      </c>
      <c r="J29" s="28" t="str">
        <f t="shared" si="3"/>
        <v/>
      </c>
    </row>
    <row r="30" spans="1:10" ht="15" customHeight="1" x14ac:dyDescent="0.2">
      <c r="A30" s="29">
        <v>26</v>
      </c>
      <c r="B30" s="30"/>
      <c r="C30" s="31"/>
      <c r="D30" s="22"/>
      <c r="E30" s="23"/>
      <c r="F30" s="24" t="str">
        <f t="shared" si="0"/>
        <v/>
      </c>
      <c r="G30" s="25" t="str">
        <f t="shared" si="1"/>
        <v/>
      </c>
      <c r="H30" s="26">
        <f>'🏠 INICIO'!$C$11</f>
        <v>0.1</v>
      </c>
      <c r="I30" s="27" t="str">
        <f t="shared" si="2"/>
        <v/>
      </c>
      <c r="J30" s="28" t="str">
        <f t="shared" si="3"/>
        <v/>
      </c>
    </row>
    <row r="31" spans="1:10" ht="15" customHeight="1" x14ac:dyDescent="0.2">
      <c r="A31" s="20">
        <v>27</v>
      </c>
      <c r="B31" s="21"/>
      <c r="C31" s="1"/>
      <c r="D31" s="22"/>
      <c r="E31" s="23"/>
      <c r="F31" s="24" t="str">
        <f t="shared" si="0"/>
        <v/>
      </c>
      <c r="G31" s="25" t="str">
        <f t="shared" si="1"/>
        <v/>
      </c>
      <c r="H31" s="26">
        <f>'🏠 INICIO'!$C$11</f>
        <v>0.1</v>
      </c>
      <c r="I31" s="27" t="str">
        <f t="shared" si="2"/>
        <v/>
      </c>
      <c r="J31" s="28" t="str">
        <f t="shared" si="3"/>
        <v/>
      </c>
    </row>
    <row r="32" spans="1:10" ht="15" customHeight="1" x14ac:dyDescent="0.2">
      <c r="A32" s="29">
        <v>28</v>
      </c>
      <c r="B32" s="30"/>
      <c r="C32" s="31"/>
      <c r="D32" s="22"/>
      <c r="E32" s="23"/>
      <c r="F32" s="24" t="str">
        <f t="shared" si="0"/>
        <v/>
      </c>
      <c r="G32" s="25" t="str">
        <f t="shared" si="1"/>
        <v/>
      </c>
      <c r="H32" s="26">
        <f>'🏠 INICIO'!$C$11</f>
        <v>0.1</v>
      </c>
      <c r="I32" s="27" t="str">
        <f t="shared" si="2"/>
        <v/>
      </c>
      <c r="J32" s="28" t="str">
        <f t="shared" si="3"/>
        <v/>
      </c>
    </row>
    <row r="33" spans="1:10" ht="15" customHeight="1" x14ac:dyDescent="0.2">
      <c r="A33" s="20">
        <v>29</v>
      </c>
      <c r="B33" s="21"/>
      <c r="C33" s="1"/>
      <c r="D33" s="22"/>
      <c r="E33" s="23"/>
      <c r="F33" s="24" t="str">
        <f t="shared" si="0"/>
        <v/>
      </c>
      <c r="G33" s="25" t="str">
        <f t="shared" si="1"/>
        <v/>
      </c>
      <c r="H33" s="26">
        <f>'🏠 INICIO'!$C$11</f>
        <v>0.1</v>
      </c>
      <c r="I33" s="27" t="str">
        <f t="shared" si="2"/>
        <v/>
      </c>
      <c r="J33" s="28" t="str">
        <f t="shared" si="3"/>
        <v/>
      </c>
    </row>
    <row r="34" spans="1:10" ht="15" customHeight="1" x14ac:dyDescent="0.2">
      <c r="A34" s="29">
        <v>30</v>
      </c>
      <c r="B34" s="30"/>
      <c r="C34" s="31"/>
      <c r="D34" s="22"/>
      <c r="E34" s="23"/>
      <c r="F34" s="24" t="str">
        <f t="shared" si="0"/>
        <v/>
      </c>
      <c r="G34" s="25" t="str">
        <f t="shared" si="1"/>
        <v/>
      </c>
      <c r="H34" s="26">
        <f>'🏠 INICIO'!$C$11</f>
        <v>0.1</v>
      </c>
      <c r="I34" s="27" t="str">
        <f t="shared" si="2"/>
        <v/>
      </c>
      <c r="J34" s="28" t="str">
        <f t="shared" si="3"/>
        <v/>
      </c>
    </row>
    <row r="35" spans="1:10" ht="15" customHeight="1" x14ac:dyDescent="0.2">
      <c r="A35" s="20">
        <v>31</v>
      </c>
      <c r="B35" s="21"/>
      <c r="C35" s="1"/>
      <c r="D35" s="22"/>
      <c r="E35" s="23"/>
      <c r="F35" s="24" t="str">
        <f t="shared" si="0"/>
        <v/>
      </c>
      <c r="G35" s="25" t="str">
        <f t="shared" si="1"/>
        <v/>
      </c>
      <c r="H35" s="26">
        <f>'🏠 INICIO'!$C$11</f>
        <v>0.1</v>
      </c>
      <c r="I35" s="27" t="str">
        <f t="shared" si="2"/>
        <v/>
      </c>
      <c r="J35" s="28" t="str">
        <f t="shared" si="3"/>
        <v/>
      </c>
    </row>
    <row r="36" spans="1:10" ht="15" customHeight="1" x14ac:dyDescent="0.2">
      <c r="A36" s="29">
        <v>32</v>
      </c>
      <c r="B36" s="30"/>
      <c r="C36" s="31"/>
      <c r="D36" s="22"/>
      <c r="E36" s="23"/>
      <c r="F36" s="24" t="str">
        <f t="shared" si="0"/>
        <v/>
      </c>
      <c r="G36" s="25" t="str">
        <f t="shared" si="1"/>
        <v/>
      </c>
      <c r="H36" s="26">
        <f>'🏠 INICIO'!$C$11</f>
        <v>0.1</v>
      </c>
      <c r="I36" s="27" t="str">
        <f t="shared" si="2"/>
        <v/>
      </c>
      <c r="J36" s="28" t="str">
        <f t="shared" si="3"/>
        <v/>
      </c>
    </row>
    <row r="37" spans="1:10" ht="15" customHeight="1" x14ac:dyDescent="0.2">
      <c r="A37" s="20">
        <v>33</v>
      </c>
      <c r="B37" s="21"/>
      <c r="C37" s="1"/>
      <c r="D37" s="22"/>
      <c r="E37" s="23"/>
      <c r="F37" s="24" t="str">
        <f t="shared" ref="F37:F54" si="4">IF(D37&lt;&gt;"",D37/(1-E37)/(1-H37),"")</f>
        <v/>
      </c>
      <c r="G37" s="25" t="str">
        <f t="shared" ref="G37:G54" si="5">IF(D37&lt;&gt;"",D37/(1-E37)-D37,"")</f>
        <v/>
      </c>
      <c r="H37" s="26">
        <f>'🏠 INICIO'!$C$11</f>
        <v>0.1</v>
      </c>
      <c r="I37" s="27" t="str">
        <f t="shared" ref="I37:I54" si="6">IF(F37&lt;&gt;"",F37*H37,"")</f>
        <v/>
      </c>
      <c r="J37" s="28" t="str">
        <f t="shared" ref="J37:J54" si="7">IF(G37&lt;&gt;"",G37,"")</f>
        <v/>
      </c>
    </row>
    <row r="38" spans="1:10" ht="15" customHeight="1" x14ac:dyDescent="0.2">
      <c r="A38" s="29">
        <v>34</v>
      </c>
      <c r="B38" s="30"/>
      <c r="C38" s="31"/>
      <c r="D38" s="22"/>
      <c r="E38" s="23"/>
      <c r="F38" s="24" t="str">
        <f t="shared" si="4"/>
        <v/>
      </c>
      <c r="G38" s="25" t="str">
        <f t="shared" si="5"/>
        <v/>
      </c>
      <c r="H38" s="26">
        <f>'🏠 INICIO'!$C$11</f>
        <v>0.1</v>
      </c>
      <c r="I38" s="27" t="str">
        <f t="shared" si="6"/>
        <v/>
      </c>
      <c r="J38" s="28" t="str">
        <f t="shared" si="7"/>
        <v/>
      </c>
    </row>
    <row r="39" spans="1:10" ht="15" customHeight="1" x14ac:dyDescent="0.2">
      <c r="A39" s="20">
        <v>35</v>
      </c>
      <c r="B39" s="21"/>
      <c r="C39" s="1"/>
      <c r="D39" s="22"/>
      <c r="E39" s="23"/>
      <c r="F39" s="24" t="str">
        <f t="shared" si="4"/>
        <v/>
      </c>
      <c r="G39" s="25" t="str">
        <f t="shared" si="5"/>
        <v/>
      </c>
      <c r="H39" s="26">
        <f>'🏠 INICIO'!$C$11</f>
        <v>0.1</v>
      </c>
      <c r="I39" s="27" t="str">
        <f t="shared" si="6"/>
        <v/>
      </c>
      <c r="J39" s="28" t="str">
        <f t="shared" si="7"/>
        <v/>
      </c>
    </row>
    <row r="40" spans="1:10" ht="15" customHeight="1" x14ac:dyDescent="0.2">
      <c r="A40" s="29">
        <v>36</v>
      </c>
      <c r="B40" s="30"/>
      <c r="C40" s="31"/>
      <c r="D40" s="22"/>
      <c r="E40" s="23"/>
      <c r="F40" s="24" t="str">
        <f t="shared" si="4"/>
        <v/>
      </c>
      <c r="G40" s="25" t="str">
        <f t="shared" si="5"/>
        <v/>
      </c>
      <c r="H40" s="26">
        <f>'🏠 INICIO'!$C$11</f>
        <v>0.1</v>
      </c>
      <c r="I40" s="27" t="str">
        <f t="shared" si="6"/>
        <v/>
      </c>
      <c r="J40" s="28" t="str">
        <f t="shared" si="7"/>
        <v/>
      </c>
    </row>
    <row r="41" spans="1:10" ht="15" customHeight="1" x14ac:dyDescent="0.2">
      <c r="A41" s="20">
        <v>37</v>
      </c>
      <c r="B41" s="21"/>
      <c r="C41" s="1"/>
      <c r="D41" s="22"/>
      <c r="E41" s="23"/>
      <c r="F41" s="24" t="str">
        <f t="shared" si="4"/>
        <v/>
      </c>
      <c r="G41" s="25" t="str">
        <f t="shared" si="5"/>
        <v/>
      </c>
      <c r="H41" s="26">
        <f>'🏠 INICIO'!$C$11</f>
        <v>0.1</v>
      </c>
      <c r="I41" s="27" t="str">
        <f t="shared" si="6"/>
        <v/>
      </c>
      <c r="J41" s="28" t="str">
        <f t="shared" si="7"/>
        <v/>
      </c>
    </row>
    <row r="42" spans="1:10" ht="15" customHeight="1" x14ac:dyDescent="0.2">
      <c r="A42" s="29">
        <v>38</v>
      </c>
      <c r="B42" s="30"/>
      <c r="C42" s="31"/>
      <c r="D42" s="22"/>
      <c r="E42" s="23"/>
      <c r="F42" s="24" t="str">
        <f t="shared" si="4"/>
        <v/>
      </c>
      <c r="G42" s="25" t="str">
        <f t="shared" si="5"/>
        <v/>
      </c>
      <c r="H42" s="26">
        <f>'🏠 INICIO'!$C$11</f>
        <v>0.1</v>
      </c>
      <c r="I42" s="27" t="str">
        <f t="shared" si="6"/>
        <v/>
      </c>
      <c r="J42" s="28" t="str">
        <f t="shared" si="7"/>
        <v/>
      </c>
    </row>
    <row r="43" spans="1:10" ht="15" customHeight="1" x14ac:dyDescent="0.2">
      <c r="A43" s="20">
        <v>39</v>
      </c>
      <c r="B43" s="21"/>
      <c r="C43" s="1"/>
      <c r="D43" s="22"/>
      <c r="E43" s="23"/>
      <c r="F43" s="24" t="str">
        <f t="shared" si="4"/>
        <v/>
      </c>
      <c r="G43" s="25" t="str">
        <f t="shared" si="5"/>
        <v/>
      </c>
      <c r="H43" s="26">
        <f>'🏠 INICIO'!$C$11</f>
        <v>0.1</v>
      </c>
      <c r="I43" s="27" t="str">
        <f t="shared" si="6"/>
        <v/>
      </c>
      <c r="J43" s="28" t="str">
        <f t="shared" si="7"/>
        <v/>
      </c>
    </row>
    <row r="44" spans="1:10" ht="15" customHeight="1" x14ac:dyDescent="0.2">
      <c r="A44" s="29">
        <v>40</v>
      </c>
      <c r="B44" s="30"/>
      <c r="C44" s="31"/>
      <c r="D44" s="22"/>
      <c r="E44" s="23"/>
      <c r="F44" s="24" t="str">
        <f t="shared" si="4"/>
        <v/>
      </c>
      <c r="G44" s="25" t="str">
        <f t="shared" si="5"/>
        <v/>
      </c>
      <c r="H44" s="26">
        <f>'🏠 INICIO'!$C$11</f>
        <v>0.1</v>
      </c>
      <c r="I44" s="27" t="str">
        <f t="shared" si="6"/>
        <v/>
      </c>
      <c r="J44" s="28" t="str">
        <f t="shared" si="7"/>
        <v/>
      </c>
    </row>
    <row r="45" spans="1:10" ht="15" customHeight="1" x14ac:dyDescent="0.2">
      <c r="A45" s="20">
        <v>41</v>
      </c>
      <c r="B45" s="21"/>
      <c r="C45" s="1"/>
      <c r="D45" s="22"/>
      <c r="E45" s="23"/>
      <c r="F45" s="24" t="str">
        <f t="shared" si="4"/>
        <v/>
      </c>
      <c r="G45" s="25" t="str">
        <f t="shared" si="5"/>
        <v/>
      </c>
      <c r="H45" s="26">
        <f>'🏠 INICIO'!$C$11</f>
        <v>0.1</v>
      </c>
      <c r="I45" s="27" t="str">
        <f t="shared" si="6"/>
        <v/>
      </c>
      <c r="J45" s="28" t="str">
        <f t="shared" si="7"/>
        <v/>
      </c>
    </row>
    <row r="46" spans="1:10" ht="15" customHeight="1" x14ac:dyDescent="0.2">
      <c r="A46" s="29">
        <v>42</v>
      </c>
      <c r="B46" s="30"/>
      <c r="C46" s="31"/>
      <c r="D46" s="22"/>
      <c r="E46" s="23"/>
      <c r="F46" s="24" t="str">
        <f t="shared" si="4"/>
        <v/>
      </c>
      <c r="G46" s="25" t="str">
        <f t="shared" si="5"/>
        <v/>
      </c>
      <c r="H46" s="26">
        <f>'🏠 INICIO'!$C$11</f>
        <v>0.1</v>
      </c>
      <c r="I46" s="27" t="str">
        <f t="shared" si="6"/>
        <v/>
      </c>
      <c r="J46" s="28" t="str">
        <f t="shared" si="7"/>
        <v/>
      </c>
    </row>
    <row r="47" spans="1:10" ht="15" customHeight="1" x14ac:dyDescent="0.2">
      <c r="A47" s="20">
        <v>43</v>
      </c>
      <c r="B47" s="21"/>
      <c r="C47" s="1"/>
      <c r="D47" s="22"/>
      <c r="E47" s="23"/>
      <c r="F47" s="24" t="str">
        <f t="shared" si="4"/>
        <v/>
      </c>
      <c r="G47" s="25" t="str">
        <f t="shared" si="5"/>
        <v/>
      </c>
      <c r="H47" s="26">
        <f>'🏠 INICIO'!$C$11</f>
        <v>0.1</v>
      </c>
      <c r="I47" s="27" t="str">
        <f t="shared" si="6"/>
        <v/>
      </c>
      <c r="J47" s="28" t="str">
        <f t="shared" si="7"/>
        <v/>
      </c>
    </row>
    <row r="48" spans="1:10" ht="15" customHeight="1" x14ac:dyDescent="0.2">
      <c r="A48" s="29">
        <v>44</v>
      </c>
      <c r="B48" s="30"/>
      <c r="C48" s="31"/>
      <c r="D48" s="22"/>
      <c r="E48" s="23"/>
      <c r="F48" s="24" t="str">
        <f t="shared" si="4"/>
        <v/>
      </c>
      <c r="G48" s="25" t="str">
        <f t="shared" si="5"/>
        <v/>
      </c>
      <c r="H48" s="26">
        <f>'🏠 INICIO'!$C$11</f>
        <v>0.1</v>
      </c>
      <c r="I48" s="27" t="str">
        <f t="shared" si="6"/>
        <v/>
      </c>
      <c r="J48" s="28" t="str">
        <f t="shared" si="7"/>
        <v/>
      </c>
    </row>
    <row r="49" spans="1:10" ht="15" customHeight="1" x14ac:dyDescent="0.2">
      <c r="A49" s="20">
        <v>45</v>
      </c>
      <c r="B49" s="21"/>
      <c r="C49" s="1"/>
      <c r="D49" s="22"/>
      <c r="E49" s="23"/>
      <c r="F49" s="24" t="str">
        <f t="shared" si="4"/>
        <v/>
      </c>
      <c r="G49" s="25" t="str">
        <f t="shared" si="5"/>
        <v/>
      </c>
      <c r="H49" s="26">
        <f>'🏠 INICIO'!$C$11</f>
        <v>0.1</v>
      </c>
      <c r="I49" s="27" t="str">
        <f t="shared" si="6"/>
        <v/>
      </c>
      <c r="J49" s="28" t="str">
        <f t="shared" si="7"/>
        <v/>
      </c>
    </row>
    <row r="50" spans="1:10" ht="15" customHeight="1" x14ac:dyDescent="0.2">
      <c r="A50" s="29">
        <v>46</v>
      </c>
      <c r="B50" s="30"/>
      <c r="C50" s="31"/>
      <c r="D50" s="22"/>
      <c r="E50" s="23"/>
      <c r="F50" s="24" t="str">
        <f t="shared" si="4"/>
        <v/>
      </c>
      <c r="G50" s="25" t="str">
        <f t="shared" si="5"/>
        <v/>
      </c>
      <c r="H50" s="26">
        <f>'🏠 INICIO'!$C$11</f>
        <v>0.1</v>
      </c>
      <c r="I50" s="27" t="str">
        <f t="shared" si="6"/>
        <v/>
      </c>
      <c r="J50" s="28" t="str">
        <f t="shared" si="7"/>
        <v/>
      </c>
    </row>
    <row r="51" spans="1:10" ht="15" customHeight="1" x14ac:dyDescent="0.2">
      <c r="A51" s="20">
        <v>47</v>
      </c>
      <c r="B51" s="21"/>
      <c r="C51" s="1"/>
      <c r="D51" s="22"/>
      <c r="E51" s="23"/>
      <c r="F51" s="24" t="str">
        <f t="shared" si="4"/>
        <v/>
      </c>
      <c r="G51" s="25" t="str">
        <f t="shared" si="5"/>
        <v/>
      </c>
      <c r="H51" s="26">
        <f>'🏠 INICIO'!$C$11</f>
        <v>0.1</v>
      </c>
      <c r="I51" s="27" t="str">
        <f t="shared" si="6"/>
        <v/>
      </c>
      <c r="J51" s="28" t="str">
        <f t="shared" si="7"/>
        <v/>
      </c>
    </row>
    <row r="52" spans="1:10" ht="15" customHeight="1" x14ac:dyDescent="0.2">
      <c r="A52" s="29">
        <v>48</v>
      </c>
      <c r="B52" s="30"/>
      <c r="C52" s="31"/>
      <c r="D52" s="22"/>
      <c r="E52" s="23"/>
      <c r="F52" s="24" t="str">
        <f t="shared" si="4"/>
        <v/>
      </c>
      <c r="G52" s="25" t="str">
        <f t="shared" si="5"/>
        <v/>
      </c>
      <c r="H52" s="26">
        <f>'🏠 INICIO'!$C$11</f>
        <v>0.1</v>
      </c>
      <c r="I52" s="27" t="str">
        <f t="shared" si="6"/>
        <v/>
      </c>
      <c r="J52" s="28" t="str">
        <f t="shared" si="7"/>
        <v/>
      </c>
    </row>
    <row r="53" spans="1:10" ht="15" customHeight="1" x14ac:dyDescent="0.2">
      <c r="A53" s="20">
        <v>49</v>
      </c>
      <c r="B53" s="21"/>
      <c r="C53" s="1"/>
      <c r="D53" s="22"/>
      <c r="E53" s="23"/>
      <c r="F53" s="24" t="str">
        <f t="shared" si="4"/>
        <v/>
      </c>
      <c r="G53" s="25" t="str">
        <f t="shared" si="5"/>
        <v/>
      </c>
      <c r="H53" s="26">
        <f>'🏠 INICIO'!$C$11</f>
        <v>0.1</v>
      </c>
      <c r="I53" s="27" t="str">
        <f t="shared" si="6"/>
        <v/>
      </c>
      <c r="J53" s="28" t="str">
        <f t="shared" si="7"/>
        <v/>
      </c>
    </row>
    <row r="54" spans="1:10" ht="15" customHeight="1" x14ac:dyDescent="0.2">
      <c r="A54" s="29">
        <v>50</v>
      </c>
      <c r="B54" s="30"/>
      <c r="C54" s="31"/>
      <c r="D54" s="22"/>
      <c r="E54" s="23"/>
      <c r="F54" s="24" t="str">
        <f t="shared" si="4"/>
        <v/>
      </c>
      <c r="G54" s="25" t="str">
        <f t="shared" si="5"/>
        <v/>
      </c>
      <c r="H54" s="26">
        <f>'🏠 INICIO'!$C$11</f>
        <v>0.1</v>
      </c>
      <c r="I54" s="27" t="str">
        <f t="shared" si="6"/>
        <v/>
      </c>
      <c r="J54" s="28" t="str">
        <f t="shared" si="7"/>
        <v/>
      </c>
    </row>
    <row r="55" spans="1:10" ht="15" customHeight="1" x14ac:dyDescent="0.2">
      <c r="A55" s="81" t="s">
        <v>59</v>
      </c>
      <c r="B55" s="81"/>
      <c r="C55" s="81"/>
      <c r="D55" s="32">
        <f>SUM(D5:D54)</f>
        <v>153.5</v>
      </c>
      <c r="E55" s="33"/>
      <c r="F55" s="32">
        <f>SUM(F5:F54)</f>
        <v>255.5212148962149</v>
      </c>
      <c r="G55" s="34">
        <f>SUM(G5:G54)</f>
        <v>76.469093406593402</v>
      </c>
      <c r="H55" s="33"/>
      <c r="I55" s="35">
        <f>SUM(I5:I54)</f>
        <v>25.552121489621488</v>
      </c>
      <c r="J55" s="34">
        <f>SUM(J5:J54)</f>
        <v>76.469093406593402</v>
      </c>
    </row>
    <row r="57" spans="1:10" ht="21.75" customHeight="1" x14ac:dyDescent="0.2">
      <c r="A57" s="90" t="s">
        <v>60</v>
      </c>
      <c r="B57" s="90"/>
      <c r="C57" s="90"/>
      <c r="D57" s="90"/>
      <c r="E57" s="90"/>
      <c r="F57" s="90"/>
      <c r="G57" s="90"/>
      <c r="H57" s="90"/>
      <c r="I57" s="90"/>
      <c r="J57" s="90"/>
    </row>
    <row r="58" spans="1:10" ht="27.75" customHeight="1" x14ac:dyDescent="0.2">
      <c r="A58" s="36" t="s">
        <v>61</v>
      </c>
      <c r="B58" s="93" t="s">
        <v>62</v>
      </c>
      <c r="C58" s="93"/>
      <c r="D58" s="93"/>
      <c r="E58" s="93"/>
      <c r="F58" s="93"/>
      <c r="G58" s="93"/>
      <c r="H58" s="93"/>
      <c r="I58" s="93"/>
      <c r="J58" s="93"/>
    </row>
    <row r="59" spans="1:10" ht="27.75" customHeight="1" x14ac:dyDescent="0.2">
      <c r="A59" s="36" t="s">
        <v>63</v>
      </c>
      <c r="B59" s="93" t="s">
        <v>64</v>
      </c>
      <c r="C59" s="93"/>
      <c r="D59" s="93"/>
      <c r="E59" s="93"/>
      <c r="F59" s="93"/>
      <c r="G59" s="93"/>
      <c r="H59" s="93"/>
      <c r="I59" s="93"/>
      <c r="J59" s="93"/>
    </row>
    <row r="60" spans="1:10" ht="27.75" customHeight="1" x14ac:dyDescent="0.2">
      <c r="A60" s="36" t="s">
        <v>65</v>
      </c>
      <c r="B60" s="93" t="s">
        <v>66</v>
      </c>
      <c r="C60" s="93"/>
      <c r="D60" s="93"/>
      <c r="E60" s="93"/>
      <c r="F60" s="93"/>
      <c r="G60" s="93"/>
      <c r="H60" s="93"/>
      <c r="I60" s="93"/>
      <c r="J60" s="93"/>
    </row>
    <row r="61" spans="1:10" ht="30" customHeight="1" x14ac:dyDescent="0.2">
      <c r="A61" s="94" t="s">
        <v>67</v>
      </c>
      <c r="B61" s="94"/>
      <c r="C61" s="94"/>
      <c r="D61" s="94"/>
      <c r="E61" s="94"/>
      <c r="F61" s="94"/>
      <c r="G61" s="94"/>
      <c r="H61" s="94"/>
      <c r="I61" s="94"/>
      <c r="J61" s="94"/>
    </row>
    <row r="63" spans="1:10" ht="21.75" customHeight="1" x14ac:dyDescent="0.2">
      <c r="A63" s="90" t="s">
        <v>68</v>
      </c>
      <c r="B63" s="90"/>
      <c r="C63" s="90"/>
      <c r="D63" s="90"/>
      <c r="E63" s="90"/>
      <c r="F63" s="90"/>
      <c r="G63" s="90"/>
      <c r="H63" s="90"/>
      <c r="I63" s="90"/>
      <c r="J63" s="90"/>
    </row>
    <row r="64" spans="1:10" ht="15" customHeight="1" x14ac:dyDescent="0.2">
      <c r="A64" s="37" t="s">
        <v>69</v>
      </c>
      <c r="B64" s="86" t="s">
        <v>70</v>
      </c>
      <c r="C64" s="86"/>
      <c r="D64" s="86"/>
      <c r="E64" s="86"/>
      <c r="F64" s="86"/>
      <c r="G64" s="86"/>
      <c r="H64" s="86"/>
      <c r="I64" s="86"/>
      <c r="J64" s="86"/>
    </row>
    <row r="65" spans="1:10" ht="15" customHeight="1" x14ac:dyDescent="0.2">
      <c r="A65" s="37" t="s">
        <v>43</v>
      </c>
      <c r="B65" s="86" t="s">
        <v>71</v>
      </c>
      <c r="C65" s="86"/>
      <c r="D65" s="86"/>
      <c r="E65" s="86"/>
      <c r="F65" s="86"/>
      <c r="G65" s="86"/>
      <c r="H65" s="86"/>
      <c r="I65" s="86"/>
      <c r="J65" s="86"/>
    </row>
    <row r="66" spans="1:10" ht="15" customHeight="1" x14ac:dyDescent="0.2">
      <c r="A66" s="37" t="s">
        <v>72</v>
      </c>
      <c r="B66" s="86" t="s">
        <v>73</v>
      </c>
      <c r="C66" s="86"/>
      <c r="D66" s="86"/>
      <c r="E66" s="86"/>
      <c r="F66" s="86"/>
      <c r="G66" s="86"/>
      <c r="H66" s="86"/>
      <c r="I66" s="86"/>
      <c r="J66" s="86"/>
    </row>
    <row r="67" spans="1:10" ht="15" customHeight="1" x14ac:dyDescent="0.2">
      <c r="A67" s="37" t="s">
        <v>45</v>
      </c>
      <c r="B67" s="86" t="s">
        <v>74</v>
      </c>
      <c r="C67" s="86"/>
      <c r="D67" s="86"/>
      <c r="E67" s="86"/>
      <c r="F67" s="86"/>
      <c r="G67" s="86"/>
      <c r="H67" s="86"/>
      <c r="I67" s="86"/>
      <c r="J67" s="86"/>
    </row>
    <row r="68" spans="1:10" ht="15" customHeight="1" x14ac:dyDescent="0.2">
      <c r="A68" s="37" t="s">
        <v>47</v>
      </c>
      <c r="B68" s="86" t="s">
        <v>75</v>
      </c>
      <c r="C68" s="86"/>
      <c r="D68" s="86"/>
      <c r="E68" s="86"/>
      <c r="F68" s="86"/>
      <c r="G68" s="86"/>
      <c r="H68" s="86"/>
      <c r="I68" s="86"/>
      <c r="J68" s="86"/>
    </row>
    <row r="69" spans="1:10" ht="15" customHeight="1" x14ac:dyDescent="0.2">
      <c r="A69" s="37" t="s">
        <v>48</v>
      </c>
      <c r="B69" s="86" t="s">
        <v>76</v>
      </c>
      <c r="C69" s="86"/>
      <c r="D69" s="86"/>
      <c r="E69" s="86"/>
      <c r="F69" s="86"/>
      <c r="G69" s="86"/>
      <c r="H69" s="86"/>
      <c r="I69" s="86"/>
      <c r="J69" s="86"/>
    </row>
  </sheetData>
  <mergeCells count="17">
    <mergeCell ref="A1:J1"/>
    <mergeCell ref="A2:J2"/>
    <mergeCell ref="A3:E3"/>
    <mergeCell ref="G3:J3"/>
    <mergeCell ref="A55:C55"/>
    <mergeCell ref="A57:J57"/>
    <mergeCell ref="B58:J58"/>
    <mergeCell ref="B59:J59"/>
    <mergeCell ref="B60:J60"/>
    <mergeCell ref="A61:J61"/>
    <mergeCell ref="B68:J68"/>
    <mergeCell ref="B69:J69"/>
    <mergeCell ref="A63:J63"/>
    <mergeCell ref="B64:J64"/>
    <mergeCell ref="B65:J65"/>
    <mergeCell ref="B66:J66"/>
    <mergeCell ref="B67:J67"/>
  </mergeCells>
  <dataValidations count="2">
    <dataValidation type="list" allowBlank="1" sqref="B5:B54" xr:uid="{00000000-0002-0000-0100-000000000000}">
      <formula1>"YANBAL,ESIKA,CYZONE,LBEL,NATURA,AVON,FARMASI,ORIFLAME,OTRO"</formula1>
      <formula2>0</formula2>
    </dataValidation>
    <dataValidation type="list" allowBlank="1" sqref="E5:E54" xr:uid="{00000000-0002-0000-0100-000001000000}">
      <formula1>"0.25,0.3,0.35,0.4,0.45,0.5"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45E65"/>
    <pageSetUpPr fitToPage="1"/>
  </sheetPr>
  <dimension ref="A1:K59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N30" sqref="N30"/>
    </sheetView>
  </sheetViews>
  <sheetFormatPr baseColWidth="10" defaultColWidth="8.6640625" defaultRowHeight="15" x14ac:dyDescent="0.2"/>
  <cols>
    <col min="1" max="1" width="4" customWidth="1"/>
    <col min="2" max="2" width="13" customWidth="1"/>
    <col min="3" max="3" width="14" customWidth="1"/>
    <col min="4" max="4" width="28" customWidth="1"/>
    <col min="5" max="5" width="13" customWidth="1"/>
    <col min="6" max="6" width="12" customWidth="1"/>
    <col min="7" max="7" width="15" customWidth="1"/>
    <col min="8" max="8" width="13" customWidth="1"/>
    <col min="9" max="9" width="9" customWidth="1"/>
    <col min="10" max="10" width="12" customWidth="1"/>
    <col min="11" max="11" width="15" customWidth="1"/>
  </cols>
  <sheetData>
    <row r="1" spans="1:11" ht="27.75" customHeight="1" x14ac:dyDescent="0.2">
      <c r="A1" s="79" t="s">
        <v>77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1" ht="24" customHeight="1" x14ac:dyDescent="0.2">
      <c r="A2" s="80" t="s">
        <v>78</v>
      </c>
      <c r="B2" s="80"/>
      <c r="C2" s="80"/>
      <c r="D2" s="80"/>
      <c r="E2" s="80"/>
      <c r="F2" s="80"/>
      <c r="G2" s="80"/>
      <c r="H2" s="80"/>
      <c r="I2" s="80"/>
      <c r="J2" s="80"/>
      <c r="K2" s="80"/>
    </row>
    <row r="3" spans="1:11" ht="15" customHeight="1" x14ac:dyDescent="0.2">
      <c r="A3" s="38" t="s">
        <v>79</v>
      </c>
      <c r="B3" s="39">
        <v>1</v>
      </c>
      <c r="C3" s="40" t="s">
        <v>80</v>
      </c>
      <c r="D3" s="41" t="s">
        <v>81</v>
      </c>
      <c r="E3" s="40" t="s">
        <v>82</v>
      </c>
      <c r="F3" s="42">
        <f>'🏠 INICIO'!$C$11</f>
        <v>0.1</v>
      </c>
      <c r="G3" s="43" t="s">
        <v>83</v>
      </c>
      <c r="H3" s="44"/>
      <c r="I3" s="44"/>
      <c r="J3" s="44"/>
      <c r="K3" s="44"/>
    </row>
    <row r="4" spans="1:11" ht="33.75" customHeight="1" x14ac:dyDescent="0.2">
      <c r="A4" s="15" t="s">
        <v>39</v>
      </c>
      <c r="B4" s="15" t="s">
        <v>84</v>
      </c>
      <c r="C4" s="15" t="s">
        <v>40</v>
      </c>
      <c r="D4" s="15" t="s">
        <v>41</v>
      </c>
      <c r="E4" s="16" t="s">
        <v>69</v>
      </c>
      <c r="F4" s="17" t="s">
        <v>85</v>
      </c>
      <c r="G4" s="18" t="s">
        <v>72</v>
      </c>
      <c r="H4" s="19" t="s">
        <v>86</v>
      </c>
      <c r="I4" s="15" t="s">
        <v>87</v>
      </c>
      <c r="J4" s="15" t="s">
        <v>88</v>
      </c>
      <c r="K4" s="19" t="s">
        <v>48</v>
      </c>
    </row>
    <row r="5" spans="1:11" ht="15" customHeight="1" x14ac:dyDescent="0.2">
      <c r="A5" s="45">
        <v>1</v>
      </c>
      <c r="B5" s="45" t="s">
        <v>81</v>
      </c>
      <c r="C5" s="46" t="s">
        <v>49</v>
      </c>
      <c r="D5" s="47" t="s">
        <v>89</v>
      </c>
      <c r="E5" s="48">
        <v>20</v>
      </c>
      <c r="F5" s="49">
        <v>0.36</v>
      </c>
      <c r="G5" s="50">
        <f t="shared" ref="G5:G36" si="0">IF(E5&lt;&gt;"",E5/(1-F5)/(1-$F$3),"")</f>
        <v>34.722222222222221</v>
      </c>
      <c r="H5" s="51">
        <f t="shared" ref="H5:H36" si="1">IF(E5&lt;&gt;"",E5/(1-F5)-E5,"")</f>
        <v>11.25</v>
      </c>
      <c r="I5" s="52">
        <f t="shared" ref="I5:I36" si="2">$F$3</f>
        <v>0.1</v>
      </c>
      <c r="J5" s="53">
        <f t="shared" ref="J5:J36" si="3">IF(G5&lt;&gt;"",G5*$F$3,"")</f>
        <v>3.4722222222222223</v>
      </c>
      <c r="K5" s="54">
        <f t="shared" ref="K5:K36" si="4">IF(H5&lt;&gt;"",H5,"")</f>
        <v>11.25</v>
      </c>
    </row>
    <row r="6" spans="1:11" ht="15" customHeight="1" x14ac:dyDescent="0.2">
      <c r="A6" s="55">
        <v>2</v>
      </c>
      <c r="B6" s="55" t="s">
        <v>81</v>
      </c>
      <c r="C6" s="56" t="s">
        <v>53</v>
      </c>
      <c r="D6" s="57" t="s">
        <v>54</v>
      </c>
      <c r="E6" s="48">
        <v>21</v>
      </c>
      <c r="F6" s="49">
        <v>0.35</v>
      </c>
      <c r="G6" s="50">
        <f t="shared" si="0"/>
        <v>35.897435897435898</v>
      </c>
      <c r="H6" s="51">
        <f t="shared" si="1"/>
        <v>11.307692307692307</v>
      </c>
      <c r="I6" s="52">
        <f t="shared" si="2"/>
        <v>0.1</v>
      </c>
      <c r="J6" s="53">
        <f t="shared" si="3"/>
        <v>3.5897435897435899</v>
      </c>
      <c r="K6" s="54">
        <f t="shared" si="4"/>
        <v>11.307692307692307</v>
      </c>
    </row>
    <row r="7" spans="1:11" ht="15" customHeight="1" x14ac:dyDescent="0.2">
      <c r="A7" s="45">
        <v>3</v>
      </c>
      <c r="B7" s="45" t="s">
        <v>81</v>
      </c>
      <c r="C7" s="46" t="s">
        <v>51</v>
      </c>
      <c r="D7" s="47" t="s">
        <v>52</v>
      </c>
      <c r="E7" s="48">
        <v>12</v>
      </c>
      <c r="F7" s="49">
        <v>0.3</v>
      </c>
      <c r="G7" s="50">
        <f t="shared" si="0"/>
        <v>19.047619047619047</v>
      </c>
      <c r="H7" s="51">
        <f t="shared" si="1"/>
        <v>5.1428571428571423</v>
      </c>
      <c r="I7" s="52">
        <f t="shared" si="2"/>
        <v>0.1</v>
      </c>
      <c r="J7" s="53">
        <f t="shared" si="3"/>
        <v>1.9047619047619049</v>
      </c>
      <c r="K7" s="54">
        <f t="shared" si="4"/>
        <v>5.1428571428571423</v>
      </c>
    </row>
    <row r="8" spans="1:11" ht="15" customHeight="1" x14ac:dyDescent="0.2">
      <c r="A8" s="55">
        <v>4</v>
      </c>
      <c r="B8" s="55" t="s">
        <v>81</v>
      </c>
      <c r="C8" s="56" t="s">
        <v>55</v>
      </c>
      <c r="D8" s="57" t="s">
        <v>56</v>
      </c>
      <c r="E8" s="48">
        <v>65</v>
      </c>
      <c r="F8" s="49">
        <v>0.36</v>
      </c>
      <c r="G8" s="50">
        <f t="shared" si="0"/>
        <v>112.84722222222221</v>
      </c>
      <c r="H8" s="51">
        <f t="shared" si="1"/>
        <v>36.5625</v>
      </c>
      <c r="I8" s="52">
        <f t="shared" si="2"/>
        <v>0.1</v>
      </c>
      <c r="J8" s="53">
        <f t="shared" si="3"/>
        <v>11.284722222222221</v>
      </c>
      <c r="K8" s="54">
        <f t="shared" si="4"/>
        <v>36.5625</v>
      </c>
    </row>
    <row r="9" spans="1:11" ht="15" customHeight="1" x14ac:dyDescent="0.2">
      <c r="A9" s="45">
        <v>5</v>
      </c>
      <c r="B9" s="45" t="s">
        <v>81</v>
      </c>
      <c r="C9" s="46" t="s">
        <v>57</v>
      </c>
      <c r="D9" s="47" t="s">
        <v>58</v>
      </c>
      <c r="E9" s="48">
        <v>35.5</v>
      </c>
      <c r="F9" s="49">
        <v>0.3</v>
      </c>
      <c r="G9" s="50">
        <f t="shared" si="0"/>
        <v>56.349206349206348</v>
      </c>
      <c r="H9" s="51">
        <f t="shared" si="1"/>
        <v>15.214285714285715</v>
      </c>
      <c r="I9" s="52">
        <f t="shared" si="2"/>
        <v>0.1</v>
      </c>
      <c r="J9" s="53">
        <f t="shared" si="3"/>
        <v>5.6349206349206353</v>
      </c>
      <c r="K9" s="54">
        <f t="shared" si="4"/>
        <v>15.214285714285715</v>
      </c>
    </row>
    <row r="10" spans="1:11" ht="15" customHeight="1" x14ac:dyDescent="0.2">
      <c r="A10" s="55">
        <v>6</v>
      </c>
      <c r="B10" s="55" t="s">
        <v>81</v>
      </c>
      <c r="C10" s="56" t="s">
        <v>90</v>
      </c>
      <c r="D10" s="57" t="s">
        <v>91</v>
      </c>
      <c r="E10" s="48">
        <v>51</v>
      </c>
      <c r="F10" s="49">
        <v>0.3</v>
      </c>
      <c r="G10" s="50">
        <f t="shared" si="0"/>
        <v>80.952380952380949</v>
      </c>
      <c r="H10" s="51">
        <f t="shared" si="1"/>
        <v>21.857142857142861</v>
      </c>
      <c r="I10" s="52">
        <f t="shared" si="2"/>
        <v>0.1</v>
      </c>
      <c r="J10" s="53">
        <f t="shared" si="3"/>
        <v>8.0952380952380949</v>
      </c>
      <c r="K10" s="54">
        <f t="shared" si="4"/>
        <v>21.857142857142861</v>
      </c>
    </row>
    <row r="11" spans="1:11" ht="15" customHeight="1" x14ac:dyDescent="0.2">
      <c r="A11" s="45">
        <v>7</v>
      </c>
      <c r="B11" s="45"/>
      <c r="C11" s="46"/>
      <c r="D11" s="47"/>
      <c r="E11" s="48"/>
      <c r="F11" s="49"/>
      <c r="G11" s="50" t="str">
        <f t="shared" si="0"/>
        <v/>
      </c>
      <c r="H11" s="51" t="str">
        <f t="shared" si="1"/>
        <v/>
      </c>
      <c r="I11" s="52">
        <f t="shared" si="2"/>
        <v>0.1</v>
      </c>
      <c r="J11" s="53" t="str">
        <f t="shared" si="3"/>
        <v/>
      </c>
      <c r="K11" s="54" t="str">
        <f t="shared" si="4"/>
        <v/>
      </c>
    </row>
    <row r="12" spans="1:11" ht="15" customHeight="1" x14ac:dyDescent="0.2">
      <c r="A12" s="55">
        <v>8</v>
      </c>
      <c r="B12" s="55"/>
      <c r="C12" s="56"/>
      <c r="D12" s="57"/>
      <c r="E12" s="48"/>
      <c r="F12" s="49"/>
      <c r="G12" s="50" t="str">
        <f t="shared" si="0"/>
        <v/>
      </c>
      <c r="H12" s="51" t="str">
        <f t="shared" si="1"/>
        <v/>
      </c>
      <c r="I12" s="52">
        <f t="shared" si="2"/>
        <v>0.1</v>
      </c>
      <c r="J12" s="53" t="str">
        <f t="shared" si="3"/>
        <v/>
      </c>
      <c r="K12" s="54" t="str">
        <f t="shared" si="4"/>
        <v/>
      </c>
    </row>
    <row r="13" spans="1:11" ht="15" customHeight="1" x14ac:dyDescent="0.2">
      <c r="A13" s="45">
        <v>9</v>
      </c>
      <c r="B13" s="45"/>
      <c r="C13" s="46"/>
      <c r="D13" s="47"/>
      <c r="E13" s="48"/>
      <c r="F13" s="49"/>
      <c r="G13" s="50" t="str">
        <f t="shared" si="0"/>
        <v/>
      </c>
      <c r="H13" s="51" t="str">
        <f t="shared" si="1"/>
        <v/>
      </c>
      <c r="I13" s="52">
        <f t="shared" si="2"/>
        <v>0.1</v>
      </c>
      <c r="J13" s="53" t="str">
        <f t="shared" si="3"/>
        <v/>
      </c>
      <c r="K13" s="54" t="str">
        <f t="shared" si="4"/>
        <v/>
      </c>
    </row>
    <row r="14" spans="1:11" ht="15" customHeight="1" x14ac:dyDescent="0.2">
      <c r="A14" s="55">
        <v>10</v>
      </c>
      <c r="B14" s="55"/>
      <c r="C14" s="56"/>
      <c r="D14" s="57"/>
      <c r="E14" s="48"/>
      <c r="F14" s="49"/>
      <c r="G14" s="50" t="str">
        <f t="shared" si="0"/>
        <v/>
      </c>
      <c r="H14" s="51" t="str">
        <f t="shared" si="1"/>
        <v/>
      </c>
      <c r="I14" s="52">
        <f t="shared" si="2"/>
        <v>0.1</v>
      </c>
      <c r="J14" s="53" t="str">
        <f t="shared" si="3"/>
        <v/>
      </c>
      <c r="K14" s="54" t="str">
        <f t="shared" si="4"/>
        <v/>
      </c>
    </row>
    <row r="15" spans="1:11" ht="15" customHeight="1" x14ac:dyDescent="0.2">
      <c r="A15" s="45">
        <v>11</v>
      </c>
      <c r="B15" s="45"/>
      <c r="C15" s="46"/>
      <c r="D15" s="47"/>
      <c r="E15" s="48"/>
      <c r="F15" s="49"/>
      <c r="G15" s="50" t="str">
        <f t="shared" si="0"/>
        <v/>
      </c>
      <c r="H15" s="51" t="str">
        <f t="shared" si="1"/>
        <v/>
      </c>
      <c r="I15" s="52">
        <f t="shared" si="2"/>
        <v>0.1</v>
      </c>
      <c r="J15" s="53" t="str">
        <f t="shared" si="3"/>
        <v/>
      </c>
      <c r="K15" s="54" t="str">
        <f t="shared" si="4"/>
        <v/>
      </c>
    </row>
    <row r="16" spans="1:11" ht="15" customHeight="1" x14ac:dyDescent="0.2">
      <c r="A16" s="55">
        <v>12</v>
      </c>
      <c r="B16" s="55"/>
      <c r="C16" s="56"/>
      <c r="D16" s="57"/>
      <c r="E16" s="48"/>
      <c r="F16" s="49"/>
      <c r="G16" s="50" t="str">
        <f t="shared" si="0"/>
        <v/>
      </c>
      <c r="H16" s="51" t="str">
        <f t="shared" si="1"/>
        <v/>
      </c>
      <c r="I16" s="52">
        <f t="shared" si="2"/>
        <v>0.1</v>
      </c>
      <c r="J16" s="53" t="str">
        <f t="shared" si="3"/>
        <v/>
      </c>
      <c r="K16" s="54" t="str">
        <f t="shared" si="4"/>
        <v/>
      </c>
    </row>
    <row r="17" spans="1:11" ht="15" customHeight="1" x14ac:dyDescent="0.2">
      <c r="A17" s="45">
        <v>13</v>
      </c>
      <c r="B17" s="45"/>
      <c r="C17" s="46"/>
      <c r="D17" s="47"/>
      <c r="E17" s="48"/>
      <c r="F17" s="49"/>
      <c r="G17" s="50" t="str">
        <f t="shared" si="0"/>
        <v/>
      </c>
      <c r="H17" s="51" t="str">
        <f t="shared" si="1"/>
        <v/>
      </c>
      <c r="I17" s="52">
        <f t="shared" si="2"/>
        <v>0.1</v>
      </c>
      <c r="J17" s="53" t="str">
        <f t="shared" si="3"/>
        <v/>
      </c>
      <c r="K17" s="54" t="str">
        <f t="shared" si="4"/>
        <v/>
      </c>
    </row>
    <row r="18" spans="1:11" ht="15" customHeight="1" x14ac:dyDescent="0.2">
      <c r="A18" s="55">
        <v>14</v>
      </c>
      <c r="B18" s="55"/>
      <c r="C18" s="56"/>
      <c r="D18" s="57"/>
      <c r="E18" s="48"/>
      <c r="F18" s="49"/>
      <c r="G18" s="50" t="str">
        <f t="shared" si="0"/>
        <v/>
      </c>
      <c r="H18" s="51" t="str">
        <f t="shared" si="1"/>
        <v/>
      </c>
      <c r="I18" s="52">
        <f t="shared" si="2"/>
        <v>0.1</v>
      </c>
      <c r="J18" s="53" t="str">
        <f t="shared" si="3"/>
        <v/>
      </c>
      <c r="K18" s="54" t="str">
        <f t="shared" si="4"/>
        <v/>
      </c>
    </row>
    <row r="19" spans="1:11" ht="15" customHeight="1" x14ac:dyDescent="0.2">
      <c r="A19" s="45">
        <v>15</v>
      </c>
      <c r="B19" s="45"/>
      <c r="C19" s="46"/>
      <c r="D19" s="47"/>
      <c r="E19" s="48"/>
      <c r="F19" s="49"/>
      <c r="G19" s="50" t="str">
        <f t="shared" si="0"/>
        <v/>
      </c>
      <c r="H19" s="51" t="str">
        <f t="shared" si="1"/>
        <v/>
      </c>
      <c r="I19" s="52">
        <f t="shared" si="2"/>
        <v>0.1</v>
      </c>
      <c r="J19" s="53" t="str">
        <f t="shared" si="3"/>
        <v/>
      </c>
      <c r="K19" s="54" t="str">
        <f t="shared" si="4"/>
        <v/>
      </c>
    </row>
    <row r="20" spans="1:11" ht="15" customHeight="1" x14ac:dyDescent="0.2">
      <c r="A20" s="55">
        <v>16</v>
      </c>
      <c r="B20" s="55"/>
      <c r="C20" s="56"/>
      <c r="D20" s="57"/>
      <c r="E20" s="48"/>
      <c r="F20" s="49"/>
      <c r="G20" s="50" t="str">
        <f t="shared" si="0"/>
        <v/>
      </c>
      <c r="H20" s="51" t="str">
        <f t="shared" si="1"/>
        <v/>
      </c>
      <c r="I20" s="52">
        <f t="shared" si="2"/>
        <v>0.1</v>
      </c>
      <c r="J20" s="53" t="str">
        <f t="shared" si="3"/>
        <v/>
      </c>
      <c r="K20" s="54" t="str">
        <f t="shared" si="4"/>
        <v/>
      </c>
    </row>
    <row r="21" spans="1:11" ht="15" customHeight="1" x14ac:dyDescent="0.2">
      <c r="A21" s="45">
        <v>17</v>
      </c>
      <c r="B21" s="45"/>
      <c r="C21" s="46"/>
      <c r="D21" s="47"/>
      <c r="E21" s="48"/>
      <c r="F21" s="49"/>
      <c r="G21" s="50" t="str">
        <f t="shared" si="0"/>
        <v/>
      </c>
      <c r="H21" s="51" t="str">
        <f t="shared" si="1"/>
        <v/>
      </c>
      <c r="I21" s="52">
        <f t="shared" si="2"/>
        <v>0.1</v>
      </c>
      <c r="J21" s="53" t="str">
        <f t="shared" si="3"/>
        <v/>
      </c>
      <c r="K21" s="54" t="str">
        <f t="shared" si="4"/>
        <v/>
      </c>
    </row>
    <row r="22" spans="1:11" ht="15" customHeight="1" x14ac:dyDescent="0.2">
      <c r="A22" s="55">
        <v>18</v>
      </c>
      <c r="B22" s="55"/>
      <c r="C22" s="56"/>
      <c r="D22" s="57"/>
      <c r="E22" s="48"/>
      <c r="F22" s="49"/>
      <c r="G22" s="50" t="str">
        <f t="shared" si="0"/>
        <v/>
      </c>
      <c r="H22" s="51" t="str">
        <f t="shared" si="1"/>
        <v/>
      </c>
      <c r="I22" s="52">
        <f t="shared" si="2"/>
        <v>0.1</v>
      </c>
      <c r="J22" s="53" t="str">
        <f t="shared" si="3"/>
        <v/>
      </c>
      <c r="K22" s="54" t="str">
        <f t="shared" si="4"/>
        <v/>
      </c>
    </row>
    <row r="23" spans="1:11" ht="15" customHeight="1" x14ac:dyDescent="0.2">
      <c r="A23" s="45">
        <v>19</v>
      </c>
      <c r="B23" s="45"/>
      <c r="C23" s="46"/>
      <c r="D23" s="47"/>
      <c r="E23" s="48"/>
      <c r="F23" s="49"/>
      <c r="G23" s="50" t="str">
        <f t="shared" si="0"/>
        <v/>
      </c>
      <c r="H23" s="51" t="str">
        <f t="shared" si="1"/>
        <v/>
      </c>
      <c r="I23" s="52">
        <f t="shared" si="2"/>
        <v>0.1</v>
      </c>
      <c r="J23" s="53" t="str">
        <f t="shared" si="3"/>
        <v/>
      </c>
      <c r="K23" s="54" t="str">
        <f t="shared" si="4"/>
        <v/>
      </c>
    </row>
    <row r="24" spans="1:11" ht="15" customHeight="1" x14ac:dyDescent="0.2">
      <c r="A24" s="55">
        <v>20</v>
      </c>
      <c r="B24" s="55"/>
      <c r="C24" s="56"/>
      <c r="D24" s="57"/>
      <c r="E24" s="48"/>
      <c r="F24" s="49"/>
      <c r="G24" s="50" t="str">
        <f t="shared" si="0"/>
        <v/>
      </c>
      <c r="H24" s="51" t="str">
        <f t="shared" si="1"/>
        <v/>
      </c>
      <c r="I24" s="52">
        <f t="shared" si="2"/>
        <v>0.1</v>
      </c>
      <c r="J24" s="53" t="str">
        <f t="shared" si="3"/>
        <v/>
      </c>
      <c r="K24" s="54" t="str">
        <f t="shared" si="4"/>
        <v/>
      </c>
    </row>
    <row r="25" spans="1:11" ht="15" customHeight="1" x14ac:dyDescent="0.2">
      <c r="A25" s="45">
        <v>21</v>
      </c>
      <c r="B25" s="45"/>
      <c r="C25" s="46"/>
      <c r="D25" s="47"/>
      <c r="E25" s="48"/>
      <c r="F25" s="49"/>
      <c r="G25" s="50" t="str">
        <f t="shared" si="0"/>
        <v/>
      </c>
      <c r="H25" s="51" t="str">
        <f t="shared" si="1"/>
        <v/>
      </c>
      <c r="I25" s="52">
        <f t="shared" si="2"/>
        <v>0.1</v>
      </c>
      <c r="J25" s="53" t="str">
        <f t="shared" si="3"/>
        <v/>
      </c>
      <c r="K25" s="54" t="str">
        <f t="shared" si="4"/>
        <v/>
      </c>
    </row>
    <row r="26" spans="1:11" ht="15" customHeight="1" x14ac:dyDescent="0.2">
      <c r="A26" s="55">
        <v>22</v>
      </c>
      <c r="B26" s="55"/>
      <c r="C26" s="56"/>
      <c r="D26" s="57"/>
      <c r="E26" s="48"/>
      <c r="F26" s="49"/>
      <c r="G26" s="50" t="str">
        <f t="shared" si="0"/>
        <v/>
      </c>
      <c r="H26" s="51" t="str">
        <f t="shared" si="1"/>
        <v/>
      </c>
      <c r="I26" s="52">
        <f t="shared" si="2"/>
        <v>0.1</v>
      </c>
      <c r="J26" s="53" t="str">
        <f t="shared" si="3"/>
        <v/>
      </c>
      <c r="K26" s="54" t="str">
        <f t="shared" si="4"/>
        <v/>
      </c>
    </row>
    <row r="27" spans="1:11" ht="15" customHeight="1" x14ac:dyDescent="0.2">
      <c r="A27" s="45">
        <v>23</v>
      </c>
      <c r="B27" s="45"/>
      <c r="C27" s="46"/>
      <c r="D27" s="47"/>
      <c r="E27" s="48"/>
      <c r="F27" s="49"/>
      <c r="G27" s="50" t="str">
        <f t="shared" si="0"/>
        <v/>
      </c>
      <c r="H27" s="51" t="str">
        <f t="shared" si="1"/>
        <v/>
      </c>
      <c r="I27" s="52">
        <f t="shared" si="2"/>
        <v>0.1</v>
      </c>
      <c r="J27" s="53" t="str">
        <f t="shared" si="3"/>
        <v/>
      </c>
      <c r="K27" s="54" t="str">
        <f t="shared" si="4"/>
        <v/>
      </c>
    </row>
    <row r="28" spans="1:11" ht="15" customHeight="1" x14ac:dyDescent="0.2">
      <c r="A28" s="55">
        <v>24</v>
      </c>
      <c r="B28" s="55"/>
      <c r="C28" s="56"/>
      <c r="D28" s="57"/>
      <c r="E28" s="48"/>
      <c r="F28" s="49"/>
      <c r="G28" s="50" t="str">
        <f t="shared" si="0"/>
        <v/>
      </c>
      <c r="H28" s="51" t="str">
        <f t="shared" si="1"/>
        <v/>
      </c>
      <c r="I28" s="52">
        <f t="shared" si="2"/>
        <v>0.1</v>
      </c>
      <c r="J28" s="53" t="str">
        <f t="shared" si="3"/>
        <v/>
      </c>
      <c r="K28" s="54" t="str">
        <f t="shared" si="4"/>
        <v/>
      </c>
    </row>
    <row r="29" spans="1:11" ht="15" customHeight="1" x14ac:dyDescent="0.2">
      <c r="A29" s="45">
        <v>25</v>
      </c>
      <c r="B29" s="45"/>
      <c r="C29" s="46"/>
      <c r="D29" s="47"/>
      <c r="E29" s="48"/>
      <c r="F29" s="49"/>
      <c r="G29" s="50" t="str">
        <f t="shared" si="0"/>
        <v/>
      </c>
      <c r="H29" s="51" t="str">
        <f t="shared" si="1"/>
        <v/>
      </c>
      <c r="I29" s="52">
        <f t="shared" si="2"/>
        <v>0.1</v>
      </c>
      <c r="J29" s="53" t="str">
        <f t="shared" si="3"/>
        <v/>
      </c>
      <c r="K29" s="54" t="str">
        <f t="shared" si="4"/>
        <v/>
      </c>
    </row>
    <row r="30" spans="1:11" ht="15" customHeight="1" x14ac:dyDescent="0.2">
      <c r="A30" s="55">
        <v>26</v>
      </c>
      <c r="B30" s="55"/>
      <c r="C30" s="56"/>
      <c r="D30" s="57"/>
      <c r="E30" s="48"/>
      <c r="F30" s="49"/>
      <c r="G30" s="50" t="str">
        <f t="shared" si="0"/>
        <v/>
      </c>
      <c r="H30" s="51" t="str">
        <f t="shared" si="1"/>
        <v/>
      </c>
      <c r="I30" s="52">
        <f t="shared" si="2"/>
        <v>0.1</v>
      </c>
      <c r="J30" s="53" t="str">
        <f t="shared" si="3"/>
        <v/>
      </c>
      <c r="K30" s="54" t="str">
        <f t="shared" si="4"/>
        <v/>
      </c>
    </row>
    <row r="31" spans="1:11" ht="15" customHeight="1" x14ac:dyDescent="0.2">
      <c r="A31" s="45">
        <v>27</v>
      </c>
      <c r="B31" s="45"/>
      <c r="C31" s="46"/>
      <c r="D31" s="47"/>
      <c r="E31" s="48"/>
      <c r="F31" s="49"/>
      <c r="G31" s="50" t="str">
        <f t="shared" si="0"/>
        <v/>
      </c>
      <c r="H31" s="51" t="str">
        <f t="shared" si="1"/>
        <v/>
      </c>
      <c r="I31" s="52">
        <f t="shared" si="2"/>
        <v>0.1</v>
      </c>
      <c r="J31" s="53" t="str">
        <f t="shared" si="3"/>
        <v/>
      </c>
      <c r="K31" s="54" t="str">
        <f t="shared" si="4"/>
        <v/>
      </c>
    </row>
    <row r="32" spans="1:11" ht="15" customHeight="1" x14ac:dyDescent="0.2">
      <c r="A32" s="55">
        <v>28</v>
      </c>
      <c r="B32" s="55"/>
      <c r="C32" s="56"/>
      <c r="D32" s="57"/>
      <c r="E32" s="48"/>
      <c r="F32" s="49"/>
      <c r="G32" s="50" t="str">
        <f t="shared" si="0"/>
        <v/>
      </c>
      <c r="H32" s="51" t="str">
        <f t="shared" si="1"/>
        <v/>
      </c>
      <c r="I32" s="52">
        <f t="shared" si="2"/>
        <v>0.1</v>
      </c>
      <c r="J32" s="53" t="str">
        <f t="shared" si="3"/>
        <v/>
      </c>
      <c r="K32" s="54" t="str">
        <f t="shared" si="4"/>
        <v/>
      </c>
    </row>
    <row r="33" spans="1:11" ht="15" customHeight="1" x14ac:dyDescent="0.2">
      <c r="A33" s="45">
        <v>29</v>
      </c>
      <c r="B33" s="45"/>
      <c r="C33" s="46"/>
      <c r="D33" s="47"/>
      <c r="E33" s="48"/>
      <c r="F33" s="49"/>
      <c r="G33" s="50" t="str">
        <f t="shared" si="0"/>
        <v/>
      </c>
      <c r="H33" s="51" t="str">
        <f t="shared" si="1"/>
        <v/>
      </c>
      <c r="I33" s="52">
        <f t="shared" si="2"/>
        <v>0.1</v>
      </c>
      <c r="J33" s="53" t="str">
        <f t="shared" si="3"/>
        <v/>
      </c>
      <c r="K33" s="54" t="str">
        <f t="shared" si="4"/>
        <v/>
      </c>
    </row>
    <row r="34" spans="1:11" ht="15" customHeight="1" x14ac:dyDescent="0.2">
      <c r="A34" s="55">
        <v>30</v>
      </c>
      <c r="B34" s="55"/>
      <c r="C34" s="56"/>
      <c r="D34" s="57"/>
      <c r="E34" s="48"/>
      <c r="F34" s="49"/>
      <c r="G34" s="50" t="str">
        <f t="shared" si="0"/>
        <v/>
      </c>
      <c r="H34" s="51" t="str">
        <f t="shared" si="1"/>
        <v/>
      </c>
      <c r="I34" s="52">
        <f t="shared" si="2"/>
        <v>0.1</v>
      </c>
      <c r="J34" s="53" t="str">
        <f t="shared" si="3"/>
        <v/>
      </c>
      <c r="K34" s="54" t="str">
        <f t="shared" si="4"/>
        <v/>
      </c>
    </row>
    <row r="35" spans="1:11" ht="15" customHeight="1" x14ac:dyDescent="0.2">
      <c r="A35" s="45">
        <v>31</v>
      </c>
      <c r="B35" s="45"/>
      <c r="C35" s="46"/>
      <c r="D35" s="47"/>
      <c r="E35" s="48"/>
      <c r="F35" s="49"/>
      <c r="G35" s="50" t="str">
        <f t="shared" si="0"/>
        <v/>
      </c>
      <c r="H35" s="51" t="str">
        <f t="shared" si="1"/>
        <v/>
      </c>
      <c r="I35" s="52">
        <f t="shared" si="2"/>
        <v>0.1</v>
      </c>
      <c r="J35" s="53" t="str">
        <f t="shared" si="3"/>
        <v/>
      </c>
      <c r="K35" s="54" t="str">
        <f t="shared" si="4"/>
        <v/>
      </c>
    </row>
    <row r="36" spans="1:11" ht="15" customHeight="1" x14ac:dyDescent="0.2">
      <c r="A36" s="55">
        <v>32</v>
      </c>
      <c r="B36" s="55"/>
      <c r="C36" s="56"/>
      <c r="D36" s="57"/>
      <c r="E36" s="48"/>
      <c r="F36" s="49"/>
      <c r="G36" s="50" t="str">
        <f t="shared" si="0"/>
        <v/>
      </c>
      <c r="H36" s="51" t="str">
        <f t="shared" si="1"/>
        <v/>
      </c>
      <c r="I36" s="52">
        <f t="shared" si="2"/>
        <v>0.1</v>
      </c>
      <c r="J36" s="53" t="str">
        <f t="shared" si="3"/>
        <v/>
      </c>
      <c r="K36" s="54" t="str">
        <f t="shared" si="4"/>
        <v/>
      </c>
    </row>
    <row r="37" spans="1:11" ht="15" customHeight="1" x14ac:dyDescent="0.2">
      <c r="A37" s="45">
        <v>33</v>
      </c>
      <c r="B37" s="45"/>
      <c r="C37" s="46"/>
      <c r="D37" s="47"/>
      <c r="E37" s="48"/>
      <c r="F37" s="49"/>
      <c r="G37" s="50" t="str">
        <f t="shared" ref="G37:G54" si="5">IF(E37&lt;&gt;"",E37/(1-F37)/(1-$F$3),"")</f>
        <v/>
      </c>
      <c r="H37" s="51" t="str">
        <f t="shared" ref="H37:H54" si="6">IF(E37&lt;&gt;"",E37/(1-F37)-E37,"")</f>
        <v/>
      </c>
      <c r="I37" s="52">
        <f t="shared" ref="I37:I54" si="7">$F$3</f>
        <v>0.1</v>
      </c>
      <c r="J37" s="53" t="str">
        <f t="shared" ref="J37:J54" si="8">IF(G37&lt;&gt;"",G37*$F$3,"")</f>
        <v/>
      </c>
      <c r="K37" s="54" t="str">
        <f t="shared" ref="K37:K54" si="9">IF(H37&lt;&gt;"",H37,"")</f>
        <v/>
      </c>
    </row>
    <row r="38" spans="1:11" ht="15" customHeight="1" x14ac:dyDescent="0.2">
      <c r="A38" s="55">
        <v>34</v>
      </c>
      <c r="B38" s="55"/>
      <c r="C38" s="56"/>
      <c r="D38" s="57"/>
      <c r="E38" s="48"/>
      <c r="F38" s="49"/>
      <c r="G38" s="50" t="str">
        <f t="shared" si="5"/>
        <v/>
      </c>
      <c r="H38" s="51" t="str">
        <f t="shared" si="6"/>
        <v/>
      </c>
      <c r="I38" s="52">
        <f t="shared" si="7"/>
        <v>0.1</v>
      </c>
      <c r="J38" s="53" t="str">
        <f t="shared" si="8"/>
        <v/>
      </c>
      <c r="K38" s="54" t="str">
        <f t="shared" si="9"/>
        <v/>
      </c>
    </row>
    <row r="39" spans="1:11" ht="15" customHeight="1" x14ac:dyDescent="0.2">
      <c r="A39" s="45">
        <v>35</v>
      </c>
      <c r="B39" s="45"/>
      <c r="C39" s="46"/>
      <c r="D39" s="47"/>
      <c r="E39" s="48"/>
      <c r="F39" s="49"/>
      <c r="G39" s="50" t="str">
        <f t="shared" si="5"/>
        <v/>
      </c>
      <c r="H39" s="51" t="str">
        <f t="shared" si="6"/>
        <v/>
      </c>
      <c r="I39" s="52">
        <f t="shared" si="7"/>
        <v>0.1</v>
      </c>
      <c r="J39" s="53" t="str">
        <f t="shared" si="8"/>
        <v/>
      </c>
      <c r="K39" s="54" t="str">
        <f t="shared" si="9"/>
        <v/>
      </c>
    </row>
    <row r="40" spans="1:11" ht="15" customHeight="1" x14ac:dyDescent="0.2">
      <c r="A40" s="55">
        <v>36</v>
      </c>
      <c r="B40" s="55"/>
      <c r="C40" s="56"/>
      <c r="D40" s="57"/>
      <c r="E40" s="48"/>
      <c r="F40" s="49"/>
      <c r="G40" s="50" t="str">
        <f t="shared" si="5"/>
        <v/>
      </c>
      <c r="H40" s="51" t="str">
        <f t="shared" si="6"/>
        <v/>
      </c>
      <c r="I40" s="52">
        <f t="shared" si="7"/>
        <v>0.1</v>
      </c>
      <c r="J40" s="53" t="str">
        <f t="shared" si="8"/>
        <v/>
      </c>
      <c r="K40" s="54" t="str">
        <f t="shared" si="9"/>
        <v/>
      </c>
    </row>
    <row r="41" spans="1:11" ht="15" customHeight="1" x14ac:dyDescent="0.2">
      <c r="A41" s="45">
        <v>37</v>
      </c>
      <c r="B41" s="45"/>
      <c r="C41" s="46"/>
      <c r="D41" s="47"/>
      <c r="E41" s="48"/>
      <c r="F41" s="49"/>
      <c r="G41" s="50" t="str">
        <f t="shared" si="5"/>
        <v/>
      </c>
      <c r="H41" s="51" t="str">
        <f t="shared" si="6"/>
        <v/>
      </c>
      <c r="I41" s="52">
        <f t="shared" si="7"/>
        <v>0.1</v>
      </c>
      <c r="J41" s="53" t="str">
        <f t="shared" si="8"/>
        <v/>
      </c>
      <c r="K41" s="54" t="str">
        <f t="shared" si="9"/>
        <v/>
      </c>
    </row>
    <row r="42" spans="1:11" ht="15" customHeight="1" x14ac:dyDescent="0.2">
      <c r="A42" s="55">
        <v>38</v>
      </c>
      <c r="B42" s="55"/>
      <c r="C42" s="56"/>
      <c r="D42" s="57"/>
      <c r="E42" s="48"/>
      <c r="F42" s="49"/>
      <c r="G42" s="50" t="str">
        <f t="shared" si="5"/>
        <v/>
      </c>
      <c r="H42" s="51" t="str">
        <f t="shared" si="6"/>
        <v/>
      </c>
      <c r="I42" s="52">
        <f t="shared" si="7"/>
        <v>0.1</v>
      </c>
      <c r="J42" s="53" t="str">
        <f t="shared" si="8"/>
        <v/>
      </c>
      <c r="K42" s="54" t="str">
        <f t="shared" si="9"/>
        <v/>
      </c>
    </row>
    <row r="43" spans="1:11" ht="15" customHeight="1" x14ac:dyDescent="0.2">
      <c r="A43" s="45">
        <v>39</v>
      </c>
      <c r="B43" s="45"/>
      <c r="C43" s="46"/>
      <c r="D43" s="47"/>
      <c r="E43" s="48"/>
      <c r="F43" s="49"/>
      <c r="G43" s="50" t="str">
        <f t="shared" si="5"/>
        <v/>
      </c>
      <c r="H43" s="51" t="str">
        <f t="shared" si="6"/>
        <v/>
      </c>
      <c r="I43" s="52">
        <f t="shared" si="7"/>
        <v>0.1</v>
      </c>
      <c r="J43" s="53" t="str">
        <f t="shared" si="8"/>
        <v/>
      </c>
      <c r="K43" s="54" t="str">
        <f t="shared" si="9"/>
        <v/>
      </c>
    </row>
    <row r="44" spans="1:11" ht="15" customHeight="1" x14ac:dyDescent="0.2">
      <c r="A44" s="55">
        <v>40</v>
      </c>
      <c r="B44" s="55"/>
      <c r="C44" s="56"/>
      <c r="D44" s="57"/>
      <c r="E44" s="48"/>
      <c r="F44" s="49"/>
      <c r="G44" s="50" t="str">
        <f t="shared" si="5"/>
        <v/>
      </c>
      <c r="H44" s="51" t="str">
        <f t="shared" si="6"/>
        <v/>
      </c>
      <c r="I44" s="52">
        <f t="shared" si="7"/>
        <v>0.1</v>
      </c>
      <c r="J44" s="53" t="str">
        <f t="shared" si="8"/>
        <v/>
      </c>
      <c r="K44" s="54" t="str">
        <f t="shared" si="9"/>
        <v/>
      </c>
    </row>
    <row r="45" spans="1:11" ht="15" customHeight="1" x14ac:dyDescent="0.2">
      <c r="A45" s="45">
        <v>41</v>
      </c>
      <c r="B45" s="45"/>
      <c r="C45" s="46"/>
      <c r="D45" s="47"/>
      <c r="E45" s="48"/>
      <c r="F45" s="49"/>
      <c r="G45" s="50" t="str">
        <f t="shared" si="5"/>
        <v/>
      </c>
      <c r="H45" s="51" t="str">
        <f t="shared" si="6"/>
        <v/>
      </c>
      <c r="I45" s="52">
        <f t="shared" si="7"/>
        <v>0.1</v>
      </c>
      <c r="J45" s="53" t="str">
        <f t="shared" si="8"/>
        <v/>
      </c>
      <c r="K45" s="54" t="str">
        <f t="shared" si="9"/>
        <v/>
      </c>
    </row>
    <row r="46" spans="1:11" ht="15" customHeight="1" x14ac:dyDescent="0.2">
      <c r="A46" s="55">
        <v>42</v>
      </c>
      <c r="B46" s="55"/>
      <c r="C46" s="56"/>
      <c r="D46" s="57"/>
      <c r="E46" s="48"/>
      <c r="F46" s="49"/>
      <c r="G46" s="50" t="str">
        <f t="shared" si="5"/>
        <v/>
      </c>
      <c r="H46" s="51" t="str">
        <f t="shared" si="6"/>
        <v/>
      </c>
      <c r="I46" s="52">
        <f t="shared" si="7"/>
        <v>0.1</v>
      </c>
      <c r="J46" s="53" t="str">
        <f t="shared" si="8"/>
        <v/>
      </c>
      <c r="K46" s="54" t="str">
        <f t="shared" si="9"/>
        <v/>
      </c>
    </row>
    <row r="47" spans="1:11" ht="15" customHeight="1" x14ac:dyDescent="0.2">
      <c r="A47" s="45">
        <v>43</v>
      </c>
      <c r="B47" s="45"/>
      <c r="C47" s="46"/>
      <c r="D47" s="47"/>
      <c r="E47" s="48"/>
      <c r="F47" s="49"/>
      <c r="G47" s="50" t="str">
        <f t="shared" si="5"/>
        <v/>
      </c>
      <c r="H47" s="51" t="str">
        <f t="shared" si="6"/>
        <v/>
      </c>
      <c r="I47" s="52">
        <f t="shared" si="7"/>
        <v>0.1</v>
      </c>
      <c r="J47" s="53" t="str">
        <f t="shared" si="8"/>
        <v/>
      </c>
      <c r="K47" s="54" t="str">
        <f t="shared" si="9"/>
        <v/>
      </c>
    </row>
    <row r="48" spans="1:11" ht="15" customHeight="1" x14ac:dyDescent="0.2">
      <c r="A48" s="55">
        <v>44</v>
      </c>
      <c r="B48" s="55"/>
      <c r="C48" s="56"/>
      <c r="D48" s="57"/>
      <c r="E48" s="48"/>
      <c r="F48" s="49"/>
      <c r="G48" s="50" t="str">
        <f t="shared" si="5"/>
        <v/>
      </c>
      <c r="H48" s="51" t="str">
        <f t="shared" si="6"/>
        <v/>
      </c>
      <c r="I48" s="52">
        <f t="shared" si="7"/>
        <v>0.1</v>
      </c>
      <c r="J48" s="53" t="str">
        <f t="shared" si="8"/>
        <v/>
      </c>
      <c r="K48" s="54" t="str">
        <f t="shared" si="9"/>
        <v/>
      </c>
    </row>
    <row r="49" spans="1:11" ht="15" customHeight="1" x14ac:dyDescent="0.2">
      <c r="A49" s="45">
        <v>45</v>
      </c>
      <c r="B49" s="45"/>
      <c r="C49" s="46"/>
      <c r="D49" s="47"/>
      <c r="E49" s="48"/>
      <c r="F49" s="49"/>
      <c r="G49" s="50" t="str">
        <f t="shared" si="5"/>
        <v/>
      </c>
      <c r="H49" s="51" t="str">
        <f t="shared" si="6"/>
        <v/>
      </c>
      <c r="I49" s="52">
        <f t="shared" si="7"/>
        <v>0.1</v>
      </c>
      <c r="J49" s="53" t="str">
        <f t="shared" si="8"/>
        <v/>
      </c>
      <c r="K49" s="54" t="str">
        <f t="shared" si="9"/>
        <v/>
      </c>
    </row>
    <row r="50" spans="1:11" ht="15" customHeight="1" x14ac:dyDescent="0.2">
      <c r="A50" s="55">
        <v>46</v>
      </c>
      <c r="B50" s="55"/>
      <c r="C50" s="56"/>
      <c r="D50" s="57"/>
      <c r="E50" s="48"/>
      <c r="F50" s="49"/>
      <c r="G50" s="50" t="str">
        <f t="shared" si="5"/>
        <v/>
      </c>
      <c r="H50" s="51" t="str">
        <f t="shared" si="6"/>
        <v/>
      </c>
      <c r="I50" s="52">
        <f t="shared" si="7"/>
        <v>0.1</v>
      </c>
      <c r="J50" s="53" t="str">
        <f t="shared" si="8"/>
        <v/>
      </c>
      <c r="K50" s="54" t="str">
        <f t="shared" si="9"/>
        <v/>
      </c>
    </row>
    <row r="51" spans="1:11" ht="15" customHeight="1" x14ac:dyDescent="0.2">
      <c r="A51" s="45">
        <v>47</v>
      </c>
      <c r="B51" s="45"/>
      <c r="C51" s="46"/>
      <c r="D51" s="47"/>
      <c r="E51" s="48"/>
      <c r="F51" s="49"/>
      <c r="G51" s="50" t="str">
        <f t="shared" si="5"/>
        <v/>
      </c>
      <c r="H51" s="51" t="str">
        <f t="shared" si="6"/>
        <v/>
      </c>
      <c r="I51" s="52">
        <f t="shared" si="7"/>
        <v>0.1</v>
      </c>
      <c r="J51" s="53" t="str">
        <f t="shared" si="8"/>
        <v/>
      </c>
      <c r="K51" s="54" t="str">
        <f t="shared" si="9"/>
        <v/>
      </c>
    </row>
    <row r="52" spans="1:11" ht="15" customHeight="1" x14ac:dyDescent="0.2">
      <c r="A52" s="55">
        <v>48</v>
      </c>
      <c r="B52" s="55"/>
      <c r="C52" s="56"/>
      <c r="D52" s="57"/>
      <c r="E52" s="48"/>
      <c r="F52" s="49"/>
      <c r="G52" s="50" t="str">
        <f t="shared" si="5"/>
        <v/>
      </c>
      <c r="H52" s="51" t="str">
        <f t="shared" si="6"/>
        <v/>
      </c>
      <c r="I52" s="52">
        <f t="shared" si="7"/>
        <v>0.1</v>
      </c>
      <c r="J52" s="53" t="str">
        <f t="shared" si="8"/>
        <v/>
      </c>
      <c r="K52" s="54" t="str">
        <f t="shared" si="9"/>
        <v/>
      </c>
    </row>
    <row r="53" spans="1:11" ht="15" customHeight="1" x14ac:dyDescent="0.2">
      <c r="A53" s="45">
        <v>49</v>
      </c>
      <c r="B53" s="45"/>
      <c r="C53" s="46"/>
      <c r="D53" s="47"/>
      <c r="E53" s="48"/>
      <c r="F53" s="49"/>
      <c r="G53" s="50" t="str">
        <f t="shared" si="5"/>
        <v/>
      </c>
      <c r="H53" s="51" t="str">
        <f t="shared" si="6"/>
        <v/>
      </c>
      <c r="I53" s="52">
        <f t="shared" si="7"/>
        <v>0.1</v>
      </c>
      <c r="J53" s="53" t="str">
        <f t="shared" si="8"/>
        <v/>
      </c>
      <c r="K53" s="54" t="str">
        <f t="shared" si="9"/>
        <v/>
      </c>
    </row>
    <row r="54" spans="1:11" ht="15" customHeight="1" x14ac:dyDescent="0.2">
      <c r="A54" s="55">
        <v>50</v>
      </c>
      <c r="B54" s="55"/>
      <c r="C54" s="56"/>
      <c r="D54" s="57"/>
      <c r="E54" s="48"/>
      <c r="F54" s="49"/>
      <c r="G54" s="50" t="str">
        <f t="shared" si="5"/>
        <v/>
      </c>
      <c r="H54" s="51" t="str">
        <f t="shared" si="6"/>
        <v/>
      </c>
      <c r="I54" s="52">
        <f t="shared" si="7"/>
        <v>0.1</v>
      </c>
      <c r="J54" s="53" t="str">
        <f t="shared" si="8"/>
        <v/>
      </c>
      <c r="K54" s="54" t="str">
        <f t="shared" si="9"/>
        <v/>
      </c>
    </row>
    <row r="55" spans="1:11" ht="15" customHeight="1" x14ac:dyDescent="0.2">
      <c r="A55" s="81" t="s">
        <v>92</v>
      </c>
      <c r="B55" s="81"/>
      <c r="C55" s="81"/>
      <c r="D55" s="81"/>
      <c r="E55" s="32">
        <f>SUM(E5:E54)</f>
        <v>204.5</v>
      </c>
      <c r="F55" s="33"/>
      <c r="G55" s="32">
        <f>SUM(G5:G54)</f>
        <v>339.8160866910867</v>
      </c>
      <c r="H55" s="34">
        <f>SUM(H5:H54)</f>
        <v>101.33447802197801</v>
      </c>
      <c r="I55" s="33"/>
      <c r="J55" s="35">
        <f>SUM(J5:J54)</f>
        <v>33.981608669108667</v>
      </c>
      <c r="K55" s="34">
        <f>SUM(K5:K54)</f>
        <v>101.33447802197801</v>
      </c>
    </row>
    <row r="57" spans="1:11" ht="24" customHeight="1" x14ac:dyDescent="0.2">
      <c r="A57" s="82" t="s">
        <v>93</v>
      </c>
      <c r="B57" s="82"/>
      <c r="C57" s="82"/>
      <c r="D57" s="82"/>
      <c r="E57" s="82"/>
      <c r="F57" s="82"/>
      <c r="G57" s="82"/>
      <c r="H57" s="82"/>
      <c r="I57" s="82"/>
      <c r="J57" s="82"/>
      <c r="K57" s="82"/>
    </row>
    <row r="58" spans="1:11" ht="21.75" customHeight="1" x14ac:dyDescent="0.2">
      <c r="A58" s="83" t="s">
        <v>94</v>
      </c>
      <c r="B58" s="83"/>
      <c r="C58" s="84" t="s">
        <v>95</v>
      </c>
      <c r="D58" s="84"/>
      <c r="E58" s="83" t="s">
        <v>96</v>
      </c>
      <c r="F58" s="83"/>
      <c r="G58" s="85" t="s">
        <v>97</v>
      </c>
      <c r="H58" s="85"/>
    </row>
    <row r="59" spans="1:11" ht="27.75" customHeight="1" x14ac:dyDescent="0.2">
      <c r="A59" s="76">
        <f>SUM(G5:G54)</f>
        <v>339.8160866910867</v>
      </c>
      <c r="B59" s="76"/>
      <c r="C59" s="77">
        <f>SUM(J5:J54)</f>
        <v>33.981608669108667</v>
      </c>
      <c r="D59" s="77"/>
      <c r="E59" s="76">
        <f>SUM(K5:K54)</f>
        <v>101.33447802197801</v>
      </c>
      <c r="F59" s="76"/>
      <c r="G59" s="78">
        <f>COUNTA(D5:D54)</f>
        <v>6</v>
      </c>
      <c r="H59" s="78"/>
    </row>
  </sheetData>
  <mergeCells count="12">
    <mergeCell ref="A59:B59"/>
    <mergeCell ref="C59:D59"/>
    <mergeCell ref="E59:F59"/>
    <mergeCell ref="G59:H59"/>
    <mergeCell ref="A1:K1"/>
    <mergeCell ref="A2:K2"/>
    <mergeCell ref="A55:D55"/>
    <mergeCell ref="A57:K57"/>
    <mergeCell ref="A58:B58"/>
    <mergeCell ref="C58:D58"/>
    <mergeCell ref="E58:F58"/>
    <mergeCell ref="G58:H58"/>
  </mergeCells>
  <dataValidations count="3">
    <dataValidation type="list" allowBlank="1" sqref="D3 B5:B54" xr:uid="{00000000-0002-0000-0200-000000000000}">
      <formula1>"ENERO,FEBRERO,MARZO,ABRIL,MAYO,JUNIO,JULIO,AGOSTO,SEPTIEMBRE,OCTUBRE,NOVIEMBRE,DICIEMBRE"</formula1>
      <formula2>0</formula2>
    </dataValidation>
    <dataValidation type="list" allowBlank="1" sqref="C5:C54" xr:uid="{00000000-0002-0000-0200-000002000000}">
      <formula1>"YANBAL,ESIKA,CYZONE,LBEL,NATURA,AVON,FARMASI,ORIFLAME,OTRO"</formula1>
      <formula2>0</formula2>
    </dataValidation>
    <dataValidation type="list" allowBlank="1" sqref="F5:F54" xr:uid="{00000000-0002-0000-0200-000003000000}">
      <formula1>"0.25,0.3,0.35,0.4,0.45,0.5"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39DDB"/>
    <pageSetUpPr fitToPage="1"/>
  </sheetPr>
  <dimension ref="A1:K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K1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  <col min="11" max="11" width="13" customWidth="1"/>
  </cols>
  <sheetData>
    <row r="1" spans="1:11" ht="27.75" customHeight="1" x14ac:dyDescent="0.2">
      <c r="A1" s="95" t="s">
        <v>98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15" customHeight="1" x14ac:dyDescent="0.2">
      <c r="A2" s="103" t="s">
        <v>99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ht="15" customHeight="1" x14ac:dyDescent="0.2">
      <c r="A3" s="104" t="s">
        <v>100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1" ht="33.75" customHeight="1" x14ac:dyDescent="0.2">
      <c r="A4" s="18" t="s">
        <v>101</v>
      </c>
      <c r="B4" s="15" t="s">
        <v>39</v>
      </c>
      <c r="C4" s="15" t="s">
        <v>102</v>
      </c>
      <c r="D4" s="15" t="s">
        <v>41</v>
      </c>
      <c r="E4" s="15" t="s">
        <v>40</v>
      </c>
      <c r="F4" s="18" t="s">
        <v>103</v>
      </c>
      <c r="G4" s="15" t="s">
        <v>104</v>
      </c>
      <c r="H4" s="15" t="s">
        <v>105</v>
      </c>
      <c r="I4" s="15" t="s">
        <v>106</v>
      </c>
      <c r="J4" s="15" t="s">
        <v>107</v>
      </c>
      <c r="K4" s="15" t="s">
        <v>108</v>
      </c>
    </row>
    <row r="5" spans="1:11" ht="15" customHeight="1" x14ac:dyDescent="0.2">
      <c r="A5" s="58">
        <v>1</v>
      </c>
      <c r="B5" s="45">
        <v>1</v>
      </c>
      <c r="C5" s="47" t="s">
        <v>109</v>
      </c>
      <c r="D5" s="47" t="s">
        <v>110</v>
      </c>
      <c r="E5" s="46" t="s">
        <v>49</v>
      </c>
      <c r="F5" s="59">
        <v>25</v>
      </c>
      <c r="G5" s="45" t="s">
        <v>111</v>
      </c>
      <c r="H5" s="60" t="s">
        <v>112</v>
      </c>
      <c r="I5" s="59"/>
      <c r="J5" s="47"/>
      <c r="K5" s="61">
        <f>IF(F5&lt;&gt;"",F5*'🏠 INICIO'!$C$11,"")</f>
        <v>2.5</v>
      </c>
    </row>
    <row r="6" spans="1:11" ht="15" customHeight="1" x14ac:dyDescent="0.2">
      <c r="A6" s="58"/>
      <c r="B6" s="55">
        <v>2</v>
      </c>
      <c r="C6" s="57"/>
      <c r="D6" s="57"/>
      <c r="E6" s="56"/>
      <c r="F6" s="59"/>
      <c r="G6" s="55"/>
      <c r="H6" s="62"/>
      <c r="I6" s="59"/>
      <c r="J6" s="57"/>
      <c r="K6" s="61" t="str">
        <f>IF(F6&lt;&gt;"",F6*'🏠 INICIO'!$C$11,"")</f>
        <v/>
      </c>
    </row>
    <row r="7" spans="1:11" ht="15" customHeight="1" x14ac:dyDescent="0.2">
      <c r="A7" s="58"/>
      <c r="B7" s="45">
        <v>3</v>
      </c>
      <c r="C7" s="47"/>
      <c r="D7" s="47"/>
      <c r="E7" s="46"/>
      <c r="F7" s="59"/>
      <c r="G7" s="45"/>
      <c r="H7" s="60"/>
      <c r="I7" s="59"/>
      <c r="J7" s="47"/>
      <c r="K7" s="61" t="str">
        <f>IF(F7&lt;&gt;"",F7*'🏠 INICIO'!$C$11,"")</f>
        <v/>
      </c>
    </row>
    <row r="8" spans="1:11" ht="15" customHeight="1" x14ac:dyDescent="0.2">
      <c r="A8" s="58"/>
      <c r="B8" s="55">
        <v>4</v>
      </c>
      <c r="C8" s="57"/>
      <c r="D8" s="57"/>
      <c r="E8" s="56"/>
      <c r="F8" s="59"/>
      <c r="G8" s="55"/>
      <c r="H8" s="62"/>
      <c r="I8" s="59"/>
      <c r="J8" s="57"/>
      <c r="K8" s="61" t="str">
        <f>IF(F8&lt;&gt;"",F8*'🏠 INICIO'!$C$11,"")</f>
        <v/>
      </c>
    </row>
    <row r="9" spans="1:11" ht="15" customHeight="1" x14ac:dyDescent="0.2">
      <c r="A9" s="58"/>
      <c r="B9" s="45">
        <v>5</v>
      </c>
      <c r="C9" s="47"/>
      <c r="D9" s="47"/>
      <c r="E9" s="46"/>
      <c r="F9" s="59"/>
      <c r="G9" s="45"/>
      <c r="H9" s="60"/>
      <c r="I9" s="59"/>
      <c r="J9" s="47"/>
      <c r="K9" s="61" t="str">
        <f>IF(F9&lt;&gt;"",F9*'🏠 INICIO'!$C$11,"")</f>
        <v/>
      </c>
    </row>
    <row r="10" spans="1:11" ht="15" customHeight="1" x14ac:dyDescent="0.2">
      <c r="A10" s="58"/>
      <c r="B10" s="55">
        <v>6</v>
      </c>
      <c r="C10" s="57"/>
      <c r="D10" s="57"/>
      <c r="E10" s="56"/>
      <c r="F10" s="59"/>
      <c r="G10" s="55"/>
      <c r="H10" s="62"/>
      <c r="I10" s="59"/>
      <c r="J10" s="57"/>
      <c r="K10" s="61" t="str">
        <f>IF(F10&lt;&gt;"",F10*'🏠 INICIO'!$C$11,"")</f>
        <v/>
      </c>
    </row>
    <row r="11" spans="1:11" ht="15" customHeight="1" x14ac:dyDescent="0.2">
      <c r="A11" s="58"/>
      <c r="B11" s="45">
        <v>7</v>
      </c>
      <c r="C11" s="47"/>
      <c r="D11" s="47"/>
      <c r="E11" s="46"/>
      <c r="F11" s="59"/>
      <c r="G11" s="45"/>
      <c r="H11" s="60"/>
      <c r="I11" s="59"/>
      <c r="J11" s="47"/>
      <c r="K11" s="61" t="str">
        <f>IF(F11&lt;&gt;"",F11*'🏠 INICIO'!$C$11,"")</f>
        <v/>
      </c>
    </row>
    <row r="12" spans="1:11" ht="15" customHeight="1" x14ac:dyDescent="0.2">
      <c r="A12" s="58"/>
      <c r="B12" s="55">
        <v>8</v>
      </c>
      <c r="C12" s="57"/>
      <c r="D12" s="57"/>
      <c r="E12" s="56"/>
      <c r="F12" s="59"/>
      <c r="G12" s="55"/>
      <c r="H12" s="62"/>
      <c r="I12" s="59"/>
      <c r="J12" s="57"/>
      <c r="K12" s="61" t="str">
        <f>IF(F12&lt;&gt;"",F12*'🏠 INICIO'!$C$11,"")</f>
        <v/>
      </c>
    </row>
    <row r="13" spans="1:11" ht="15" customHeight="1" x14ac:dyDescent="0.2">
      <c r="A13" s="58"/>
      <c r="B13" s="45">
        <v>9</v>
      </c>
      <c r="C13" s="47"/>
      <c r="D13" s="47"/>
      <c r="E13" s="46"/>
      <c r="F13" s="59"/>
      <c r="G13" s="45"/>
      <c r="H13" s="60"/>
      <c r="I13" s="59"/>
      <c r="J13" s="47"/>
      <c r="K13" s="61" t="str">
        <f>IF(F13&lt;&gt;"",F13*'🏠 INICIO'!$C$11,"")</f>
        <v/>
      </c>
    </row>
    <row r="14" spans="1:11" ht="15" customHeight="1" x14ac:dyDescent="0.2">
      <c r="A14" s="58"/>
      <c r="B14" s="55">
        <v>10</v>
      </c>
      <c r="C14" s="57"/>
      <c r="D14" s="57"/>
      <c r="E14" s="56"/>
      <c r="F14" s="59"/>
      <c r="G14" s="55"/>
      <c r="H14" s="62"/>
      <c r="I14" s="59"/>
      <c r="J14" s="57"/>
      <c r="K14" s="61" t="str">
        <f>IF(F14&lt;&gt;"",F14*'🏠 INICIO'!$C$11,"")</f>
        <v/>
      </c>
    </row>
    <row r="15" spans="1:11" ht="15" customHeight="1" x14ac:dyDescent="0.2">
      <c r="A15" s="58"/>
      <c r="B15" s="45">
        <v>11</v>
      </c>
      <c r="C15" s="47"/>
      <c r="D15" s="47"/>
      <c r="E15" s="46"/>
      <c r="F15" s="59"/>
      <c r="G15" s="45"/>
      <c r="H15" s="60"/>
      <c r="I15" s="59"/>
      <c r="J15" s="47"/>
      <c r="K15" s="61" t="str">
        <f>IF(F15&lt;&gt;"",F15*'🏠 INICIO'!$C$11,"")</f>
        <v/>
      </c>
    </row>
    <row r="16" spans="1:11" ht="15" customHeight="1" x14ac:dyDescent="0.2">
      <c r="A16" s="58"/>
      <c r="B16" s="55">
        <v>12</v>
      </c>
      <c r="C16" s="57"/>
      <c r="D16" s="57"/>
      <c r="E16" s="56"/>
      <c r="F16" s="59"/>
      <c r="G16" s="55"/>
      <c r="H16" s="62"/>
      <c r="I16" s="59"/>
      <c r="J16" s="57"/>
      <c r="K16" s="61" t="str">
        <f>IF(F16&lt;&gt;"",F16*'🏠 INICIO'!$C$11,"")</f>
        <v/>
      </c>
    </row>
    <row r="17" spans="1:11" ht="15" customHeight="1" x14ac:dyDescent="0.2">
      <c r="A17" s="58"/>
      <c r="B17" s="45">
        <v>13</v>
      </c>
      <c r="C17" s="47"/>
      <c r="D17" s="47"/>
      <c r="E17" s="46"/>
      <c r="F17" s="59"/>
      <c r="G17" s="45"/>
      <c r="H17" s="60"/>
      <c r="I17" s="59"/>
      <c r="J17" s="47"/>
      <c r="K17" s="61" t="str">
        <f>IF(F17&lt;&gt;"",F17*'🏠 INICIO'!$C$11,"")</f>
        <v/>
      </c>
    </row>
    <row r="18" spans="1:11" ht="15" customHeight="1" x14ac:dyDescent="0.2">
      <c r="A18" s="58"/>
      <c r="B18" s="55">
        <v>14</v>
      </c>
      <c r="C18" s="57"/>
      <c r="D18" s="57"/>
      <c r="E18" s="56"/>
      <c r="F18" s="59"/>
      <c r="G18" s="55"/>
      <c r="H18" s="62"/>
      <c r="I18" s="59"/>
      <c r="J18" s="57"/>
      <c r="K18" s="61" t="str">
        <f>IF(F18&lt;&gt;"",F18*'🏠 INICIO'!$C$11,"")</f>
        <v/>
      </c>
    </row>
    <row r="19" spans="1:11" ht="15" customHeight="1" x14ac:dyDescent="0.2">
      <c r="A19" s="58"/>
      <c r="B19" s="45">
        <v>15</v>
      </c>
      <c r="C19" s="47"/>
      <c r="D19" s="47"/>
      <c r="E19" s="46"/>
      <c r="F19" s="59"/>
      <c r="G19" s="45"/>
      <c r="H19" s="60"/>
      <c r="I19" s="59"/>
      <c r="J19" s="47"/>
      <c r="K19" s="61" t="str">
        <f>IF(F19&lt;&gt;"",F19*'🏠 INICIO'!$C$11,"")</f>
        <v/>
      </c>
    </row>
    <row r="20" spans="1:11" ht="15" customHeight="1" x14ac:dyDescent="0.2">
      <c r="A20" s="58"/>
      <c r="B20" s="55">
        <v>16</v>
      </c>
      <c r="C20" s="57"/>
      <c r="D20" s="57"/>
      <c r="E20" s="56"/>
      <c r="F20" s="59"/>
      <c r="G20" s="55"/>
      <c r="H20" s="62"/>
      <c r="I20" s="59"/>
      <c r="J20" s="57"/>
      <c r="K20" s="61" t="str">
        <f>IF(F20&lt;&gt;"",F20*'🏠 INICIO'!$C$11,"")</f>
        <v/>
      </c>
    </row>
    <row r="21" spans="1:11" ht="15" customHeight="1" x14ac:dyDescent="0.2">
      <c r="A21" s="58"/>
      <c r="B21" s="45">
        <v>17</v>
      </c>
      <c r="C21" s="47"/>
      <c r="D21" s="47"/>
      <c r="E21" s="46"/>
      <c r="F21" s="59"/>
      <c r="G21" s="45"/>
      <c r="H21" s="60"/>
      <c r="I21" s="59"/>
      <c r="J21" s="47"/>
      <c r="K21" s="61" t="str">
        <f>IF(F21&lt;&gt;"",F21*'🏠 INICIO'!$C$11,"")</f>
        <v/>
      </c>
    </row>
    <row r="22" spans="1:11" ht="15" customHeight="1" x14ac:dyDescent="0.2">
      <c r="A22" s="58"/>
      <c r="B22" s="55">
        <v>18</v>
      </c>
      <c r="C22" s="57"/>
      <c r="D22" s="57"/>
      <c r="E22" s="56"/>
      <c r="F22" s="59"/>
      <c r="G22" s="55"/>
      <c r="H22" s="62"/>
      <c r="I22" s="59"/>
      <c r="J22" s="57"/>
      <c r="K22" s="61" t="str">
        <f>IF(F22&lt;&gt;"",F22*'🏠 INICIO'!$C$11,"")</f>
        <v/>
      </c>
    </row>
    <row r="23" spans="1:11" ht="15" customHeight="1" x14ac:dyDescent="0.2">
      <c r="A23" s="58"/>
      <c r="B23" s="45">
        <v>19</v>
      </c>
      <c r="C23" s="47"/>
      <c r="D23" s="47"/>
      <c r="E23" s="46"/>
      <c r="F23" s="59"/>
      <c r="G23" s="45"/>
      <c r="H23" s="60"/>
      <c r="I23" s="59"/>
      <c r="J23" s="47"/>
      <c r="K23" s="61" t="str">
        <f>IF(F23&lt;&gt;"",F23*'🏠 INICIO'!$C$11,"")</f>
        <v/>
      </c>
    </row>
    <row r="24" spans="1:11" ht="15" customHeight="1" x14ac:dyDescent="0.2">
      <c r="A24" s="58"/>
      <c r="B24" s="55">
        <v>20</v>
      </c>
      <c r="C24" s="57"/>
      <c r="D24" s="57"/>
      <c r="E24" s="56"/>
      <c r="F24" s="59"/>
      <c r="G24" s="55"/>
      <c r="H24" s="62"/>
      <c r="I24" s="59"/>
      <c r="J24" s="57"/>
      <c r="K24" s="61" t="str">
        <f>IF(F24&lt;&gt;"",F24*'🏠 INICIO'!$C$11,"")</f>
        <v/>
      </c>
    </row>
    <row r="25" spans="1:11" ht="15" customHeight="1" x14ac:dyDescent="0.2">
      <c r="A25" s="58"/>
      <c r="B25" s="45">
        <v>21</v>
      </c>
      <c r="C25" s="47"/>
      <c r="D25" s="47"/>
      <c r="E25" s="46"/>
      <c r="F25" s="59"/>
      <c r="G25" s="45"/>
      <c r="H25" s="60"/>
      <c r="I25" s="59"/>
      <c r="J25" s="47"/>
      <c r="K25" s="61" t="str">
        <f>IF(F25&lt;&gt;"",F25*'🏠 INICIO'!$C$11,"")</f>
        <v/>
      </c>
    </row>
    <row r="26" spans="1:11" ht="15" customHeight="1" x14ac:dyDescent="0.2">
      <c r="A26" s="58"/>
      <c r="B26" s="55">
        <v>22</v>
      </c>
      <c r="C26" s="57"/>
      <c r="D26" s="57"/>
      <c r="E26" s="56"/>
      <c r="F26" s="59"/>
      <c r="G26" s="55"/>
      <c r="H26" s="62"/>
      <c r="I26" s="59"/>
      <c r="J26" s="57"/>
      <c r="K26" s="61" t="str">
        <f>IF(F26&lt;&gt;"",F26*'🏠 INICIO'!$C$11,"")</f>
        <v/>
      </c>
    </row>
    <row r="27" spans="1:11" ht="15" customHeight="1" x14ac:dyDescent="0.2">
      <c r="A27" s="58"/>
      <c r="B27" s="45">
        <v>23</v>
      </c>
      <c r="C27" s="47"/>
      <c r="D27" s="47"/>
      <c r="E27" s="46"/>
      <c r="F27" s="59"/>
      <c r="G27" s="45"/>
      <c r="H27" s="60"/>
      <c r="I27" s="59"/>
      <c r="J27" s="47"/>
      <c r="K27" s="61" t="str">
        <f>IF(F27&lt;&gt;"",F27*'🏠 INICIO'!$C$11,"")</f>
        <v/>
      </c>
    </row>
    <row r="28" spans="1:11" ht="15" customHeight="1" x14ac:dyDescent="0.2">
      <c r="A28" s="58"/>
      <c r="B28" s="55">
        <v>24</v>
      </c>
      <c r="C28" s="57"/>
      <c r="D28" s="57"/>
      <c r="E28" s="56"/>
      <c r="F28" s="59"/>
      <c r="G28" s="55"/>
      <c r="H28" s="62"/>
      <c r="I28" s="59"/>
      <c r="J28" s="57"/>
      <c r="K28" s="61" t="str">
        <f>IF(F28&lt;&gt;"",F28*'🏠 INICIO'!$C$11,"")</f>
        <v/>
      </c>
    </row>
    <row r="29" spans="1:11" ht="15" customHeight="1" x14ac:dyDescent="0.2">
      <c r="A29" s="58"/>
      <c r="B29" s="45">
        <v>25</v>
      </c>
      <c r="C29" s="47"/>
      <c r="D29" s="47"/>
      <c r="E29" s="46"/>
      <c r="F29" s="59"/>
      <c r="G29" s="45"/>
      <c r="H29" s="60"/>
      <c r="I29" s="59"/>
      <c r="J29" s="47"/>
      <c r="K29" s="61" t="str">
        <f>IF(F29&lt;&gt;"",F29*'🏠 INICIO'!$C$11,"")</f>
        <v/>
      </c>
    </row>
    <row r="30" spans="1:11" ht="15" customHeight="1" x14ac:dyDescent="0.2">
      <c r="A30" s="58"/>
      <c r="B30" s="55">
        <v>26</v>
      </c>
      <c r="C30" s="57"/>
      <c r="D30" s="57"/>
      <c r="E30" s="56"/>
      <c r="F30" s="59"/>
      <c r="G30" s="55"/>
      <c r="H30" s="62"/>
      <c r="I30" s="59"/>
      <c r="J30" s="57"/>
      <c r="K30" s="61" t="str">
        <f>IF(F30&lt;&gt;"",F30*'🏠 INICIO'!$C$11,"")</f>
        <v/>
      </c>
    </row>
    <row r="31" spans="1:11" ht="15" customHeight="1" x14ac:dyDescent="0.2">
      <c r="A31" s="58"/>
      <c r="B31" s="45">
        <v>27</v>
      </c>
      <c r="C31" s="47"/>
      <c r="D31" s="47"/>
      <c r="E31" s="46"/>
      <c r="F31" s="59"/>
      <c r="G31" s="45"/>
      <c r="H31" s="60"/>
      <c r="I31" s="59"/>
      <c r="J31" s="47"/>
      <c r="K31" s="61" t="str">
        <f>IF(F31&lt;&gt;"",F31*'🏠 INICIO'!$C$11,"")</f>
        <v/>
      </c>
    </row>
    <row r="32" spans="1:11" ht="15" customHeight="1" x14ac:dyDescent="0.2">
      <c r="A32" s="58"/>
      <c r="B32" s="55">
        <v>28</v>
      </c>
      <c r="C32" s="57"/>
      <c r="D32" s="57"/>
      <c r="E32" s="56"/>
      <c r="F32" s="59"/>
      <c r="G32" s="55"/>
      <c r="H32" s="62"/>
      <c r="I32" s="59"/>
      <c r="J32" s="57"/>
      <c r="K32" s="61" t="str">
        <f>IF(F32&lt;&gt;"",F32*'🏠 INICIO'!$C$11,"")</f>
        <v/>
      </c>
    </row>
    <row r="33" spans="1:11" ht="15" customHeight="1" x14ac:dyDescent="0.2">
      <c r="A33" s="58"/>
      <c r="B33" s="45">
        <v>29</v>
      </c>
      <c r="C33" s="47"/>
      <c r="D33" s="47"/>
      <c r="E33" s="46"/>
      <c r="F33" s="59"/>
      <c r="G33" s="45"/>
      <c r="H33" s="60"/>
      <c r="I33" s="59"/>
      <c r="J33" s="47"/>
      <c r="K33" s="61" t="str">
        <f>IF(F33&lt;&gt;"",F33*'🏠 INICIO'!$C$11,"")</f>
        <v/>
      </c>
    </row>
    <row r="34" spans="1:11" ht="15" customHeight="1" x14ac:dyDescent="0.2">
      <c r="A34" s="58"/>
      <c r="B34" s="55">
        <v>30</v>
      </c>
      <c r="C34" s="57"/>
      <c r="D34" s="57"/>
      <c r="E34" s="56"/>
      <c r="F34" s="59"/>
      <c r="G34" s="55"/>
      <c r="H34" s="62"/>
      <c r="I34" s="59"/>
      <c r="J34" s="57"/>
      <c r="K34" s="61" t="str">
        <f>IF(F34&lt;&gt;"",F34*'🏠 INICIO'!$C$11,"")</f>
        <v/>
      </c>
    </row>
    <row r="35" spans="1:11" ht="15" customHeight="1" x14ac:dyDescent="0.2">
      <c r="A35" s="58"/>
      <c r="B35" s="45">
        <v>31</v>
      </c>
      <c r="C35" s="47"/>
      <c r="D35" s="47"/>
      <c r="E35" s="46"/>
      <c r="F35" s="59"/>
      <c r="G35" s="45"/>
      <c r="H35" s="60"/>
      <c r="I35" s="59"/>
      <c r="J35" s="47"/>
      <c r="K35" s="61" t="str">
        <f>IF(F35&lt;&gt;"",F35*'🏠 INICIO'!$C$11,"")</f>
        <v/>
      </c>
    </row>
    <row r="36" spans="1:11" ht="15" customHeight="1" x14ac:dyDescent="0.2">
      <c r="A36" s="58"/>
      <c r="B36" s="55">
        <v>32</v>
      </c>
      <c r="C36" s="57"/>
      <c r="D36" s="57"/>
      <c r="E36" s="56"/>
      <c r="F36" s="59"/>
      <c r="G36" s="55"/>
      <c r="H36" s="62"/>
      <c r="I36" s="59"/>
      <c r="J36" s="57"/>
      <c r="K36" s="61" t="str">
        <f>IF(F36&lt;&gt;"",F36*'🏠 INICIO'!$C$11,"")</f>
        <v/>
      </c>
    </row>
    <row r="37" spans="1:11" ht="15" customHeight="1" x14ac:dyDescent="0.2">
      <c r="A37" s="58"/>
      <c r="B37" s="45">
        <v>33</v>
      </c>
      <c r="C37" s="47"/>
      <c r="D37" s="47"/>
      <c r="E37" s="46"/>
      <c r="F37" s="59"/>
      <c r="G37" s="45"/>
      <c r="H37" s="60"/>
      <c r="I37" s="59"/>
      <c r="J37" s="47"/>
      <c r="K37" s="61" t="str">
        <f>IF(F37&lt;&gt;"",F37*'🏠 INICIO'!$C$11,"")</f>
        <v/>
      </c>
    </row>
    <row r="38" spans="1:11" ht="15" customHeight="1" x14ac:dyDescent="0.2">
      <c r="A38" s="58"/>
      <c r="B38" s="55">
        <v>34</v>
      </c>
      <c r="C38" s="57"/>
      <c r="D38" s="57"/>
      <c r="E38" s="56"/>
      <c r="F38" s="59"/>
      <c r="G38" s="55"/>
      <c r="H38" s="62"/>
      <c r="I38" s="59"/>
      <c r="J38" s="57"/>
      <c r="K38" s="61" t="str">
        <f>IF(F38&lt;&gt;"",F38*'🏠 INICIO'!$C$11,"")</f>
        <v/>
      </c>
    </row>
    <row r="39" spans="1:11" ht="15" customHeight="1" x14ac:dyDescent="0.2">
      <c r="A39" s="58"/>
      <c r="B39" s="45">
        <v>35</v>
      </c>
      <c r="C39" s="47"/>
      <c r="D39" s="47"/>
      <c r="E39" s="46"/>
      <c r="F39" s="59"/>
      <c r="G39" s="45"/>
      <c r="H39" s="60"/>
      <c r="I39" s="59"/>
      <c r="J39" s="47"/>
      <c r="K39" s="61" t="str">
        <f>IF(F39&lt;&gt;"",F39*'🏠 INICIO'!$C$11,"")</f>
        <v/>
      </c>
    </row>
    <row r="40" spans="1:11" ht="15" customHeight="1" x14ac:dyDescent="0.2">
      <c r="A40" s="58"/>
      <c r="B40" s="55">
        <v>36</v>
      </c>
      <c r="C40" s="57"/>
      <c r="D40" s="57"/>
      <c r="E40" s="56"/>
      <c r="F40" s="59"/>
      <c r="G40" s="55"/>
      <c r="H40" s="62"/>
      <c r="I40" s="59"/>
      <c r="J40" s="57"/>
      <c r="K40" s="61" t="str">
        <f>IF(F40&lt;&gt;"",F40*'🏠 INICIO'!$C$11,"")</f>
        <v/>
      </c>
    </row>
    <row r="41" spans="1:11" ht="15" customHeight="1" x14ac:dyDescent="0.2">
      <c r="A41" s="58"/>
      <c r="B41" s="45">
        <v>37</v>
      </c>
      <c r="C41" s="47"/>
      <c r="D41" s="47"/>
      <c r="E41" s="46"/>
      <c r="F41" s="59"/>
      <c r="G41" s="45"/>
      <c r="H41" s="60"/>
      <c r="I41" s="59"/>
      <c r="J41" s="47"/>
      <c r="K41" s="61" t="str">
        <f>IF(F41&lt;&gt;"",F41*'🏠 INICIO'!$C$11,"")</f>
        <v/>
      </c>
    </row>
    <row r="42" spans="1:11" ht="15" customHeight="1" x14ac:dyDescent="0.2">
      <c r="A42" s="58"/>
      <c r="B42" s="55">
        <v>38</v>
      </c>
      <c r="C42" s="57"/>
      <c r="D42" s="57"/>
      <c r="E42" s="56"/>
      <c r="F42" s="59"/>
      <c r="G42" s="55"/>
      <c r="H42" s="62"/>
      <c r="I42" s="59"/>
      <c r="J42" s="57"/>
      <c r="K42" s="61" t="str">
        <f>IF(F42&lt;&gt;"",F42*'🏠 INICIO'!$C$11,"")</f>
        <v/>
      </c>
    </row>
    <row r="43" spans="1:11" ht="15" customHeight="1" x14ac:dyDescent="0.2">
      <c r="A43" s="58"/>
      <c r="B43" s="45">
        <v>39</v>
      </c>
      <c r="C43" s="47"/>
      <c r="D43" s="47"/>
      <c r="E43" s="46"/>
      <c r="F43" s="59"/>
      <c r="G43" s="45"/>
      <c r="H43" s="60"/>
      <c r="I43" s="59"/>
      <c r="J43" s="47"/>
      <c r="K43" s="61" t="str">
        <f>IF(F43&lt;&gt;"",F43*'🏠 INICIO'!$C$11,"")</f>
        <v/>
      </c>
    </row>
    <row r="44" spans="1:11" ht="15" customHeight="1" x14ac:dyDescent="0.2">
      <c r="A44" s="58"/>
      <c r="B44" s="55">
        <v>40</v>
      </c>
      <c r="C44" s="57"/>
      <c r="D44" s="57"/>
      <c r="E44" s="56"/>
      <c r="F44" s="59"/>
      <c r="G44" s="55"/>
      <c r="H44" s="62"/>
      <c r="I44" s="59"/>
      <c r="J44" s="57"/>
      <c r="K44" s="61" t="str">
        <f>IF(F44&lt;&gt;"",F44*'🏠 INICIO'!$C$11,"")</f>
        <v/>
      </c>
    </row>
    <row r="45" spans="1:11" ht="15" customHeight="1" x14ac:dyDescent="0.2">
      <c r="A45" s="58"/>
      <c r="B45" s="45">
        <v>41</v>
      </c>
      <c r="C45" s="47"/>
      <c r="D45" s="47"/>
      <c r="E45" s="46"/>
      <c r="F45" s="59"/>
      <c r="G45" s="45"/>
      <c r="H45" s="60"/>
      <c r="I45" s="59"/>
      <c r="J45" s="47"/>
      <c r="K45" s="61" t="str">
        <f>IF(F45&lt;&gt;"",F45*'🏠 INICIO'!$C$11,"")</f>
        <v/>
      </c>
    </row>
    <row r="46" spans="1:11" ht="15" customHeight="1" x14ac:dyDescent="0.2">
      <c r="A46" s="58"/>
      <c r="B46" s="55">
        <v>42</v>
      </c>
      <c r="C46" s="57"/>
      <c r="D46" s="57"/>
      <c r="E46" s="56"/>
      <c r="F46" s="59"/>
      <c r="G46" s="55"/>
      <c r="H46" s="62"/>
      <c r="I46" s="59"/>
      <c r="J46" s="57"/>
      <c r="K46" s="61" t="str">
        <f>IF(F46&lt;&gt;"",F46*'🏠 INICIO'!$C$11,"")</f>
        <v/>
      </c>
    </row>
    <row r="47" spans="1:11" ht="15" customHeight="1" x14ac:dyDescent="0.2">
      <c r="A47" s="58"/>
      <c r="B47" s="45">
        <v>43</v>
      </c>
      <c r="C47" s="47"/>
      <c r="D47" s="47"/>
      <c r="E47" s="46"/>
      <c r="F47" s="59"/>
      <c r="G47" s="45"/>
      <c r="H47" s="60"/>
      <c r="I47" s="59"/>
      <c r="J47" s="47"/>
      <c r="K47" s="61" t="str">
        <f>IF(F47&lt;&gt;"",F47*'🏠 INICIO'!$C$11,"")</f>
        <v/>
      </c>
    </row>
    <row r="48" spans="1:11" ht="15" customHeight="1" x14ac:dyDescent="0.2">
      <c r="A48" s="58"/>
      <c r="B48" s="55">
        <v>44</v>
      </c>
      <c r="C48" s="57"/>
      <c r="D48" s="57"/>
      <c r="E48" s="56"/>
      <c r="F48" s="59"/>
      <c r="G48" s="55"/>
      <c r="H48" s="62"/>
      <c r="I48" s="59"/>
      <c r="J48" s="57"/>
      <c r="K48" s="61" t="str">
        <f>IF(F48&lt;&gt;"",F48*'🏠 INICIO'!$C$11,"")</f>
        <v/>
      </c>
    </row>
    <row r="49" spans="1:11" ht="15" customHeight="1" x14ac:dyDescent="0.2">
      <c r="A49" s="58"/>
      <c r="B49" s="45">
        <v>45</v>
      </c>
      <c r="C49" s="47"/>
      <c r="D49" s="47"/>
      <c r="E49" s="46"/>
      <c r="F49" s="59"/>
      <c r="G49" s="45"/>
      <c r="H49" s="60"/>
      <c r="I49" s="59"/>
      <c r="J49" s="47"/>
      <c r="K49" s="61" t="str">
        <f>IF(F49&lt;&gt;"",F49*'🏠 INICIO'!$C$11,"")</f>
        <v/>
      </c>
    </row>
    <row r="50" spans="1:11" ht="15" customHeight="1" x14ac:dyDescent="0.2">
      <c r="A50" s="58"/>
      <c r="B50" s="55">
        <v>46</v>
      </c>
      <c r="C50" s="57"/>
      <c r="D50" s="57"/>
      <c r="E50" s="56"/>
      <c r="F50" s="59"/>
      <c r="G50" s="55"/>
      <c r="H50" s="62"/>
      <c r="I50" s="59"/>
      <c r="J50" s="57"/>
      <c r="K50" s="61" t="str">
        <f>IF(F50&lt;&gt;"",F50*'🏠 INICIO'!$C$11,"")</f>
        <v/>
      </c>
    </row>
    <row r="51" spans="1:11" ht="15" customHeight="1" x14ac:dyDescent="0.2">
      <c r="A51" s="58"/>
      <c r="B51" s="45">
        <v>47</v>
      </c>
      <c r="C51" s="47"/>
      <c r="D51" s="47"/>
      <c r="E51" s="46"/>
      <c r="F51" s="59"/>
      <c r="G51" s="45"/>
      <c r="H51" s="60"/>
      <c r="I51" s="59"/>
      <c r="J51" s="47"/>
      <c r="K51" s="61" t="str">
        <f>IF(F51&lt;&gt;"",F51*'🏠 INICIO'!$C$11,"")</f>
        <v/>
      </c>
    </row>
    <row r="52" spans="1:11" ht="15" customHeight="1" x14ac:dyDescent="0.2">
      <c r="A52" s="58"/>
      <c r="B52" s="55">
        <v>48</v>
      </c>
      <c r="C52" s="57"/>
      <c r="D52" s="57"/>
      <c r="E52" s="56"/>
      <c r="F52" s="59"/>
      <c r="G52" s="55"/>
      <c r="H52" s="62"/>
      <c r="I52" s="59"/>
      <c r="J52" s="57"/>
      <c r="K52" s="61" t="str">
        <f>IF(F52&lt;&gt;"",F52*'🏠 INICIO'!$C$11,"")</f>
        <v/>
      </c>
    </row>
    <row r="53" spans="1:11" ht="15" customHeight="1" x14ac:dyDescent="0.2">
      <c r="A53" s="58"/>
      <c r="B53" s="45">
        <v>49</v>
      </c>
      <c r="C53" s="47"/>
      <c r="D53" s="47"/>
      <c r="E53" s="46"/>
      <c r="F53" s="59"/>
      <c r="G53" s="45"/>
      <c r="H53" s="60"/>
      <c r="I53" s="59"/>
      <c r="J53" s="47"/>
      <c r="K53" s="61" t="str">
        <f>IF(F53&lt;&gt;"",F53*'🏠 INICIO'!$C$11,"")</f>
        <v/>
      </c>
    </row>
    <row r="54" spans="1:11" ht="15" customHeight="1" x14ac:dyDescent="0.2">
      <c r="A54" s="58"/>
      <c r="B54" s="55">
        <v>50</v>
      </c>
      <c r="C54" s="57"/>
      <c r="D54" s="57"/>
      <c r="E54" s="56"/>
      <c r="F54" s="59"/>
      <c r="G54" s="55"/>
      <c r="H54" s="62"/>
      <c r="I54" s="59"/>
      <c r="J54" s="57"/>
      <c r="K54" s="61" t="str">
        <f>IF(F54&lt;&gt;"",F54*'🏠 INICIO'!$C$11,"")</f>
        <v/>
      </c>
    </row>
    <row r="56" spans="1:11" ht="24" customHeight="1" x14ac:dyDescent="0.2">
      <c r="A56" s="82" t="s">
        <v>113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</row>
    <row r="57" spans="1:11" ht="23.25" customHeight="1" x14ac:dyDescent="0.2">
      <c r="A57" s="105" t="s">
        <v>114</v>
      </c>
      <c r="B57" s="105"/>
      <c r="C57" s="105" t="s">
        <v>115</v>
      </c>
      <c r="D57" s="105"/>
      <c r="E57" s="106" t="s">
        <v>116</v>
      </c>
      <c r="F57" s="106"/>
      <c r="G57" s="107" t="s">
        <v>117</v>
      </c>
      <c r="H57" s="107"/>
      <c r="I57" s="108" t="s">
        <v>118</v>
      </c>
      <c r="J57" s="108"/>
    </row>
    <row r="58" spans="1:11" ht="25.5" customHeight="1" x14ac:dyDescent="0.2">
      <c r="A58" s="98">
        <f>SUM(F5:F54)</f>
        <v>25</v>
      </c>
      <c r="B58" s="98"/>
      <c r="C58" s="99">
        <f>COUNTIF(H5:H54,"PAGADO")</f>
        <v>1</v>
      </c>
      <c r="D58" s="99"/>
      <c r="E58" s="100">
        <f>COUNTIF(H5:H54,"FALTA CANCELAR")</f>
        <v>0</v>
      </c>
      <c r="F58" s="100"/>
      <c r="G58" s="101">
        <f>SUM(I5:I54)</f>
        <v>0</v>
      </c>
      <c r="H58" s="101"/>
      <c r="I58" s="102">
        <f>SUM(K5:K54)</f>
        <v>2.5</v>
      </c>
      <c r="J58" s="102"/>
    </row>
  </sheetData>
  <mergeCells count="14">
    <mergeCell ref="A1:K1"/>
    <mergeCell ref="A2:K2"/>
    <mergeCell ref="A3:K3"/>
    <mergeCell ref="A56:K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</mergeCells>
  <conditionalFormatting sqref="H5:H54">
    <cfRule type="expression" dxfId="35" priority="2">
      <formula>$H5="PAGADO"</formula>
    </cfRule>
    <cfRule type="expression" dxfId="34" priority="3">
      <formula>$H5="FALTA CANCELAR"</formula>
    </cfRule>
    <cfRule type="expression" dxfId="33" priority="4">
      <formula>$H5="ADELANTO"</formula>
    </cfRule>
  </conditionalFormatting>
  <dataValidations count="4">
    <dataValidation type="list" allowBlank="1" sqref="A5:A54" xr:uid="{00000000-0002-0000-0300-000000000000}">
      <formula1>"1,2,3,4,5,6,7,8,9,10,11,12,13,14,15,16,17,18,19,20"</formula1>
      <formula2>0</formula2>
    </dataValidation>
    <dataValidation type="list" allowBlank="1" sqref="E5:E54" xr:uid="{00000000-0002-0000-0300-000001000000}">
      <formula1>"YANBAL,ESIKA,CYZONE,LBEL,NATURA,AVON,FARMASI,ORIFLAME,OTRO"</formula1>
      <formula2>0</formula2>
    </dataValidation>
    <dataValidation type="list" allowBlank="1" sqref="G5:G54" xr:uid="{00000000-0002-0000-0300-000002000000}">
      <formula1>"YAPE,PLIN,EFECTIVO,TRANSFERENCIA,MIXTO"</formula1>
      <formula2>0</formula2>
    </dataValidation>
    <dataValidation type="list" allowBlank="1" sqref="H5:H54" xr:uid="{00000000-0002-0000-03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39DDB"/>
    <pageSetUpPr fitToPage="1"/>
  </sheetPr>
  <dimension ref="A1:K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K1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  <col min="11" max="11" width="13" customWidth="1"/>
  </cols>
  <sheetData>
    <row r="1" spans="1:11" ht="27.75" customHeight="1" x14ac:dyDescent="0.2">
      <c r="A1" s="95" t="s">
        <v>119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15" customHeight="1" x14ac:dyDescent="0.2">
      <c r="A2" s="103" t="s">
        <v>99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ht="15" customHeight="1" x14ac:dyDescent="0.2">
      <c r="A3" s="104" t="s">
        <v>100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1" ht="33.75" customHeight="1" x14ac:dyDescent="0.2">
      <c r="A4" s="18" t="s">
        <v>101</v>
      </c>
      <c r="B4" s="15" t="s">
        <v>39</v>
      </c>
      <c r="C4" s="15" t="s">
        <v>102</v>
      </c>
      <c r="D4" s="15" t="s">
        <v>41</v>
      </c>
      <c r="E4" s="15" t="s">
        <v>40</v>
      </c>
      <c r="F4" s="18" t="s">
        <v>103</v>
      </c>
      <c r="G4" s="15" t="s">
        <v>104</v>
      </c>
      <c r="H4" s="15" t="s">
        <v>105</v>
      </c>
      <c r="I4" s="15" t="s">
        <v>106</v>
      </c>
      <c r="J4" s="15" t="s">
        <v>107</v>
      </c>
      <c r="K4" s="15" t="s">
        <v>108</v>
      </c>
    </row>
    <row r="5" spans="1:11" ht="15" customHeight="1" x14ac:dyDescent="0.2">
      <c r="A5" s="58"/>
      <c r="B5" s="45">
        <v>1</v>
      </c>
      <c r="C5" s="47"/>
      <c r="D5" s="47"/>
      <c r="E5" s="46"/>
      <c r="F5" s="59"/>
      <c r="G5" s="45"/>
      <c r="H5" s="60"/>
      <c r="I5" s="59"/>
      <c r="J5" s="47"/>
      <c r="K5" s="61" t="str">
        <f>IF(F5&lt;&gt;"",F5*'🏠 INICIO'!$C$11,"")</f>
        <v/>
      </c>
    </row>
    <row r="6" spans="1:11" ht="15" customHeight="1" x14ac:dyDescent="0.2">
      <c r="A6" s="58"/>
      <c r="B6" s="55">
        <v>2</v>
      </c>
      <c r="C6" s="57"/>
      <c r="D6" s="57"/>
      <c r="E6" s="56"/>
      <c r="F6" s="59"/>
      <c r="G6" s="55"/>
      <c r="H6" s="62"/>
      <c r="I6" s="59"/>
      <c r="J6" s="57"/>
      <c r="K6" s="61" t="str">
        <f>IF(F6&lt;&gt;"",F6*'🏠 INICIO'!$C$11,"")</f>
        <v/>
      </c>
    </row>
    <row r="7" spans="1:11" ht="15" customHeight="1" x14ac:dyDescent="0.2">
      <c r="A7" s="58"/>
      <c r="B7" s="45">
        <v>3</v>
      </c>
      <c r="C7" s="47"/>
      <c r="D7" s="47"/>
      <c r="E7" s="46"/>
      <c r="F7" s="59"/>
      <c r="G7" s="45"/>
      <c r="H7" s="60"/>
      <c r="I7" s="59"/>
      <c r="J7" s="47"/>
      <c r="K7" s="61" t="str">
        <f>IF(F7&lt;&gt;"",F7*'🏠 INICIO'!$C$11,"")</f>
        <v/>
      </c>
    </row>
    <row r="8" spans="1:11" ht="15" customHeight="1" x14ac:dyDescent="0.2">
      <c r="A8" s="58"/>
      <c r="B8" s="55">
        <v>4</v>
      </c>
      <c r="C8" s="57"/>
      <c r="D8" s="57"/>
      <c r="E8" s="56"/>
      <c r="F8" s="59"/>
      <c r="G8" s="55"/>
      <c r="H8" s="62"/>
      <c r="I8" s="59"/>
      <c r="J8" s="57"/>
      <c r="K8" s="61" t="str">
        <f>IF(F8&lt;&gt;"",F8*'🏠 INICIO'!$C$11,"")</f>
        <v/>
      </c>
    </row>
    <row r="9" spans="1:11" ht="15" customHeight="1" x14ac:dyDescent="0.2">
      <c r="A9" s="58"/>
      <c r="B9" s="45">
        <v>5</v>
      </c>
      <c r="C9" s="47"/>
      <c r="D9" s="47"/>
      <c r="E9" s="46"/>
      <c r="F9" s="59"/>
      <c r="G9" s="45"/>
      <c r="H9" s="60"/>
      <c r="I9" s="59"/>
      <c r="J9" s="47"/>
      <c r="K9" s="61" t="str">
        <f>IF(F9&lt;&gt;"",F9*'🏠 INICIO'!$C$11,"")</f>
        <v/>
      </c>
    </row>
    <row r="10" spans="1:11" ht="15" customHeight="1" x14ac:dyDescent="0.2">
      <c r="A10" s="58"/>
      <c r="B10" s="55">
        <v>6</v>
      </c>
      <c r="C10" s="57"/>
      <c r="D10" s="57"/>
      <c r="E10" s="56"/>
      <c r="F10" s="59"/>
      <c r="G10" s="55"/>
      <c r="H10" s="62"/>
      <c r="I10" s="59"/>
      <c r="J10" s="57"/>
      <c r="K10" s="61" t="str">
        <f>IF(F10&lt;&gt;"",F10*'🏠 INICIO'!$C$11,"")</f>
        <v/>
      </c>
    </row>
    <row r="11" spans="1:11" ht="15" customHeight="1" x14ac:dyDescent="0.2">
      <c r="A11" s="58"/>
      <c r="B11" s="45">
        <v>7</v>
      </c>
      <c r="C11" s="47"/>
      <c r="D11" s="47"/>
      <c r="E11" s="46"/>
      <c r="F11" s="59"/>
      <c r="G11" s="45"/>
      <c r="H11" s="60"/>
      <c r="I11" s="59"/>
      <c r="J11" s="47"/>
      <c r="K11" s="61" t="str">
        <f>IF(F11&lt;&gt;"",F11*'🏠 INICIO'!$C$11,"")</f>
        <v/>
      </c>
    </row>
    <row r="12" spans="1:11" ht="15" customHeight="1" x14ac:dyDescent="0.2">
      <c r="A12" s="58"/>
      <c r="B12" s="55">
        <v>8</v>
      </c>
      <c r="C12" s="57"/>
      <c r="D12" s="57"/>
      <c r="E12" s="56"/>
      <c r="F12" s="59"/>
      <c r="G12" s="55"/>
      <c r="H12" s="62"/>
      <c r="I12" s="59"/>
      <c r="J12" s="57"/>
      <c r="K12" s="61" t="str">
        <f>IF(F12&lt;&gt;"",F12*'🏠 INICIO'!$C$11,"")</f>
        <v/>
      </c>
    </row>
    <row r="13" spans="1:11" ht="15" customHeight="1" x14ac:dyDescent="0.2">
      <c r="A13" s="58"/>
      <c r="B13" s="45">
        <v>9</v>
      </c>
      <c r="C13" s="47"/>
      <c r="D13" s="47"/>
      <c r="E13" s="46"/>
      <c r="F13" s="59"/>
      <c r="G13" s="45"/>
      <c r="H13" s="60"/>
      <c r="I13" s="59"/>
      <c r="J13" s="47"/>
      <c r="K13" s="61" t="str">
        <f>IF(F13&lt;&gt;"",F13*'🏠 INICIO'!$C$11,"")</f>
        <v/>
      </c>
    </row>
    <row r="14" spans="1:11" ht="15" customHeight="1" x14ac:dyDescent="0.2">
      <c r="A14" s="58"/>
      <c r="B14" s="55">
        <v>10</v>
      </c>
      <c r="C14" s="57"/>
      <c r="D14" s="57"/>
      <c r="E14" s="56"/>
      <c r="F14" s="59"/>
      <c r="G14" s="55"/>
      <c r="H14" s="62"/>
      <c r="I14" s="59"/>
      <c r="J14" s="57"/>
      <c r="K14" s="61" t="str">
        <f>IF(F14&lt;&gt;"",F14*'🏠 INICIO'!$C$11,"")</f>
        <v/>
      </c>
    </row>
    <row r="15" spans="1:11" ht="15" customHeight="1" x14ac:dyDescent="0.2">
      <c r="A15" s="58"/>
      <c r="B15" s="45">
        <v>11</v>
      </c>
      <c r="C15" s="47"/>
      <c r="D15" s="47"/>
      <c r="E15" s="46"/>
      <c r="F15" s="59"/>
      <c r="G15" s="45"/>
      <c r="H15" s="60"/>
      <c r="I15" s="59"/>
      <c r="J15" s="47"/>
      <c r="K15" s="61" t="str">
        <f>IF(F15&lt;&gt;"",F15*'🏠 INICIO'!$C$11,"")</f>
        <v/>
      </c>
    </row>
    <row r="16" spans="1:11" ht="15" customHeight="1" x14ac:dyDescent="0.2">
      <c r="A16" s="58"/>
      <c r="B16" s="55">
        <v>12</v>
      </c>
      <c r="C16" s="57"/>
      <c r="D16" s="57"/>
      <c r="E16" s="56"/>
      <c r="F16" s="59"/>
      <c r="G16" s="55"/>
      <c r="H16" s="62"/>
      <c r="I16" s="59"/>
      <c r="J16" s="57"/>
      <c r="K16" s="61" t="str">
        <f>IF(F16&lt;&gt;"",F16*'🏠 INICIO'!$C$11,"")</f>
        <v/>
      </c>
    </row>
    <row r="17" spans="1:11" ht="15" customHeight="1" x14ac:dyDescent="0.2">
      <c r="A17" s="58"/>
      <c r="B17" s="45">
        <v>13</v>
      </c>
      <c r="C17" s="47"/>
      <c r="D17" s="47"/>
      <c r="E17" s="46"/>
      <c r="F17" s="59"/>
      <c r="G17" s="45"/>
      <c r="H17" s="60"/>
      <c r="I17" s="59"/>
      <c r="J17" s="47"/>
      <c r="K17" s="61" t="str">
        <f>IF(F17&lt;&gt;"",F17*'🏠 INICIO'!$C$11,"")</f>
        <v/>
      </c>
    </row>
    <row r="18" spans="1:11" ht="15" customHeight="1" x14ac:dyDescent="0.2">
      <c r="A18" s="58"/>
      <c r="B18" s="55">
        <v>14</v>
      </c>
      <c r="C18" s="57"/>
      <c r="D18" s="57"/>
      <c r="E18" s="56"/>
      <c r="F18" s="59"/>
      <c r="G18" s="55"/>
      <c r="H18" s="62"/>
      <c r="I18" s="59"/>
      <c r="J18" s="57"/>
      <c r="K18" s="61" t="str">
        <f>IF(F18&lt;&gt;"",F18*'🏠 INICIO'!$C$11,"")</f>
        <v/>
      </c>
    </row>
    <row r="19" spans="1:11" ht="15" customHeight="1" x14ac:dyDescent="0.2">
      <c r="A19" s="58"/>
      <c r="B19" s="45">
        <v>15</v>
      </c>
      <c r="C19" s="47"/>
      <c r="D19" s="47"/>
      <c r="E19" s="46"/>
      <c r="F19" s="59"/>
      <c r="G19" s="45"/>
      <c r="H19" s="60"/>
      <c r="I19" s="59"/>
      <c r="J19" s="47"/>
      <c r="K19" s="61" t="str">
        <f>IF(F19&lt;&gt;"",F19*'🏠 INICIO'!$C$11,"")</f>
        <v/>
      </c>
    </row>
    <row r="20" spans="1:11" ht="15" customHeight="1" x14ac:dyDescent="0.2">
      <c r="A20" s="58"/>
      <c r="B20" s="55">
        <v>16</v>
      </c>
      <c r="C20" s="57"/>
      <c r="D20" s="57"/>
      <c r="E20" s="56"/>
      <c r="F20" s="59"/>
      <c r="G20" s="55"/>
      <c r="H20" s="62"/>
      <c r="I20" s="59"/>
      <c r="J20" s="57"/>
      <c r="K20" s="61" t="str">
        <f>IF(F20&lt;&gt;"",F20*'🏠 INICIO'!$C$11,"")</f>
        <v/>
      </c>
    </row>
    <row r="21" spans="1:11" ht="15" customHeight="1" x14ac:dyDescent="0.2">
      <c r="A21" s="58"/>
      <c r="B21" s="45">
        <v>17</v>
      </c>
      <c r="C21" s="47"/>
      <c r="D21" s="47"/>
      <c r="E21" s="46"/>
      <c r="F21" s="59"/>
      <c r="G21" s="45"/>
      <c r="H21" s="60"/>
      <c r="I21" s="59"/>
      <c r="J21" s="47"/>
      <c r="K21" s="61" t="str">
        <f>IF(F21&lt;&gt;"",F21*'🏠 INICIO'!$C$11,"")</f>
        <v/>
      </c>
    </row>
    <row r="22" spans="1:11" ht="15" customHeight="1" x14ac:dyDescent="0.2">
      <c r="A22" s="58"/>
      <c r="B22" s="55">
        <v>18</v>
      </c>
      <c r="C22" s="57"/>
      <c r="D22" s="57"/>
      <c r="E22" s="56"/>
      <c r="F22" s="59"/>
      <c r="G22" s="55"/>
      <c r="H22" s="62"/>
      <c r="I22" s="59"/>
      <c r="J22" s="57"/>
      <c r="K22" s="61" t="str">
        <f>IF(F22&lt;&gt;"",F22*'🏠 INICIO'!$C$11,"")</f>
        <v/>
      </c>
    </row>
    <row r="23" spans="1:11" ht="15" customHeight="1" x14ac:dyDescent="0.2">
      <c r="A23" s="58"/>
      <c r="B23" s="45">
        <v>19</v>
      </c>
      <c r="C23" s="47"/>
      <c r="D23" s="47"/>
      <c r="E23" s="46"/>
      <c r="F23" s="59"/>
      <c r="G23" s="45"/>
      <c r="H23" s="60"/>
      <c r="I23" s="59"/>
      <c r="J23" s="47"/>
      <c r="K23" s="61" t="str">
        <f>IF(F23&lt;&gt;"",F23*'🏠 INICIO'!$C$11,"")</f>
        <v/>
      </c>
    </row>
    <row r="24" spans="1:11" ht="15" customHeight="1" x14ac:dyDescent="0.2">
      <c r="A24" s="58"/>
      <c r="B24" s="55">
        <v>20</v>
      </c>
      <c r="C24" s="57"/>
      <c r="D24" s="57"/>
      <c r="E24" s="56"/>
      <c r="F24" s="59"/>
      <c r="G24" s="55"/>
      <c r="H24" s="62"/>
      <c r="I24" s="59"/>
      <c r="J24" s="57"/>
      <c r="K24" s="61" t="str">
        <f>IF(F24&lt;&gt;"",F24*'🏠 INICIO'!$C$11,"")</f>
        <v/>
      </c>
    </row>
    <row r="25" spans="1:11" ht="15" customHeight="1" x14ac:dyDescent="0.2">
      <c r="A25" s="58"/>
      <c r="B25" s="45">
        <v>21</v>
      </c>
      <c r="C25" s="47"/>
      <c r="D25" s="47"/>
      <c r="E25" s="46"/>
      <c r="F25" s="59"/>
      <c r="G25" s="45"/>
      <c r="H25" s="60"/>
      <c r="I25" s="59"/>
      <c r="J25" s="47"/>
      <c r="K25" s="61" t="str">
        <f>IF(F25&lt;&gt;"",F25*'🏠 INICIO'!$C$11,"")</f>
        <v/>
      </c>
    </row>
    <row r="26" spans="1:11" ht="15" customHeight="1" x14ac:dyDescent="0.2">
      <c r="A26" s="58"/>
      <c r="B26" s="55">
        <v>22</v>
      </c>
      <c r="C26" s="57"/>
      <c r="D26" s="57"/>
      <c r="E26" s="56"/>
      <c r="F26" s="59"/>
      <c r="G26" s="55"/>
      <c r="H26" s="62"/>
      <c r="I26" s="59"/>
      <c r="J26" s="57"/>
      <c r="K26" s="61" t="str">
        <f>IF(F26&lt;&gt;"",F26*'🏠 INICIO'!$C$11,"")</f>
        <v/>
      </c>
    </row>
    <row r="27" spans="1:11" ht="15" customHeight="1" x14ac:dyDescent="0.2">
      <c r="A27" s="58"/>
      <c r="B27" s="45">
        <v>23</v>
      </c>
      <c r="C27" s="47"/>
      <c r="D27" s="47"/>
      <c r="E27" s="46"/>
      <c r="F27" s="59"/>
      <c r="G27" s="45"/>
      <c r="H27" s="60"/>
      <c r="I27" s="59"/>
      <c r="J27" s="47"/>
      <c r="K27" s="61" t="str">
        <f>IF(F27&lt;&gt;"",F27*'🏠 INICIO'!$C$11,"")</f>
        <v/>
      </c>
    </row>
    <row r="28" spans="1:11" ht="15" customHeight="1" x14ac:dyDescent="0.2">
      <c r="A28" s="58"/>
      <c r="B28" s="55">
        <v>24</v>
      </c>
      <c r="C28" s="57"/>
      <c r="D28" s="57"/>
      <c r="E28" s="56"/>
      <c r="F28" s="59"/>
      <c r="G28" s="55"/>
      <c r="H28" s="62"/>
      <c r="I28" s="59"/>
      <c r="J28" s="57"/>
      <c r="K28" s="61" t="str">
        <f>IF(F28&lt;&gt;"",F28*'🏠 INICIO'!$C$11,"")</f>
        <v/>
      </c>
    </row>
    <row r="29" spans="1:11" ht="15" customHeight="1" x14ac:dyDescent="0.2">
      <c r="A29" s="58"/>
      <c r="B29" s="45">
        <v>25</v>
      </c>
      <c r="C29" s="47"/>
      <c r="D29" s="47"/>
      <c r="E29" s="46"/>
      <c r="F29" s="59"/>
      <c r="G29" s="45"/>
      <c r="H29" s="60"/>
      <c r="I29" s="59"/>
      <c r="J29" s="47"/>
      <c r="K29" s="61" t="str">
        <f>IF(F29&lt;&gt;"",F29*'🏠 INICIO'!$C$11,"")</f>
        <v/>
      </c>
    </row>
    <row r="30" spans="1:11" ht="15" customHeight="1" x14ac:dyDescent="0.2">
      <c r="A30" s="58"/>
      <c r="B30" s="55">
        <v>26</v>
      </c>
      <c r="C30" s="57"/>
      <c r="D30" s="57"/>
      <c r="E30" s="56"/>
      <c r="F30" s="59"/>
      <c r="G30" s="55"/>
      <c r="H30" s="62"/>
      <c r="I30" s="59"/>
      <c r="J30" s="57"/>
      <c r="K30" s="61" t="str">
        <f>IF(F30&lt;&gt;"",F30*'🏠 INICIO'!$C$11,"")</f>
        <v/>
      </c>
    </row>
    <row r="31" spans="1:11" ht="15" customHeight="1" x14ac:dyDescent="0.2">
      <c r="A31" s="58"/>
      <c r="B31" s="45">
        <v>27</v>
      </c>
      <c r="C31" s="47"/>
      <c r="D31" s="47"/>
      <c r="E31" s="46"/>
      <c r="F31" s="59"/>
      <c r="G31" s="45"/>
      <c r="H31" s="60"/>
      <c r="I31" s="59"/>
      <c r="J31" s="47"/>
      <c r="K31" s="61" t="str">
        <f>IF(F31&lt;&gt;"",F31*'🏠 INICIO'!$C$11,"")</f>
        <v/>
      </c>
    </row>
    <row r="32" spans="1:11" ht="15" customHeight="1" x14ac:dyDescent="0.2">
      <c r="A32" s="58"/>
      <c r="B32" s="55">
        <v>28</v>
      </c>
      <c r="C32" s="57"/>
      <c r="D32" s="57"/>
      <c r="E32" s="56"/>
      <c r="F32" s="59"/>
      <c r="G32" s="55"/>
      <c r="H32" s="62"/>
      <c r="I32" s="59"/>
      <c r="J32" s="57"/>
      <c r="K32" s="61" t="str">
        <f>IF(F32&lt;&gt;"",F32*'🏠 INICIO'!$C$11,"")</f>
        <v/>
      </c>
    </row>
    <row r="33" spans="1:11" ht="15" customHeight="1" x14ac:dyDescent="0.2">
      <c r="A33" s="58"/>
      <c r="B33" s="45">
        <v>29</v>
      </c>
      <c r="C33" s="47"/>
      <c r="D33" s="47"/>
      <c r="E33" s="46"/>
      <c r="F33" s="59"/>
      <c r="G33" s="45"/>
      <c r="H33" s="60"/>
      <c r="I33" s="59"/>
      <c r="J33" s="47"/>
      <c r="K33" s="61" t="str">
        <f>IF(F33&lt;&gt;"",F33*'🏠 INICIO'!$C$11,"")</f>
        <v/>
      </c>
    </row>
    <row r="34" spans="1:11" ht="15" customHeight="1" x14ac:dyDescent="0.2">
      <c r="A34" s="58"/>
      <c r="B34" s="55">
        <v>30</v>
      </c>
      <c r="C34" s="57"/>
      <c r="D34" s="57"/>
      <c r="E34" s="56"/>
      <c r="F34" s="59"/>
      <c r="G34" s="55"/>
      <c r="H34" s="62"/>
      <c r="I34" s="59"/>
      <c r="J34" s="57"/>
      <c r="K34" s="61" t="str">
        <f>IF(F34&lt;&gt;"",F34*'🏠 INICIO'!$C$11,"")</f>
        <v/>
      </c>
    </row>
    <row r="35" spans="1:11" ht="15" customHeight="1" x14ac:dyDescent="0.2">
      <c r="A35" s="58"/>
      <c r="B35" s="45">
        <v>31</v>
      </c>
      <c r="C35" s="47"/>
      <c r="D35" s="47"/>
      <c r="E35" s="46"/>
      <c r="F35" s="59"/>
      <c r="G35" s="45"/>
      <c r="H35" s="60"/>
      <c r="I35" s="59"/>
      <c r="J35" s="47"/>
      <c r="K35" s="61" t="str">
        <f>IF(F35&lt;&gt;"",F35*'🏠 INICIO'!$C$11,"")</f>
        <v/>
      </c>
    </row>
    <row r="36" spans="1:11" ht="15" customHeight="1" x14ac:dyDescent="0.2">
      <c r="A36" s="58"/>
      <c r="B36" s="55">
        <v>32</v>
      </c>
      <c r="C36" s="57"/>
      <c r="D36" s="57"/>
      <c r="E36" s="56"/>
      <c r="F36" s="59"/>
      <c r="G36" s="55"/>
      <c r="H36" s="62"/>
      <c r="I36" s="59"/>
      <c r="J36" s="57"/>
      <c r="K36" s="61" t="str">
        <f>IF(F36&lt;&gt;"",F36*'🏠 INICIO'!$C$11,"")</f>
        <v/>
      </c>
    </row>
    <row r="37" spans="1:11" ht="15" customHeight="1" x14ac:dyDescent="0.2">
      <c r="A37" s="58"/>
      <c r="B37" s="45">
        <v>33</v>
      </c>
      <c r="C37" s="47"/>
      <c r="D37" s="47"/>
      <c r="E37" s="46"/>
      <c r="F37" s="59"/>
      <c r="G37" s="45"/>
      <c r="H37" s="60"/>
      <c r="I37" s="59"/>
      <c r="J37" s="47"/>
      <c r="K37" s="61" t="str">
        <f>IF(F37&lt;&gt;"",F37*'🏠 INICIO'!$C$11,"")</f>
        <v/>
      </c>
    </row>
    <row r="38" spans="1:11" ht="15" customHeight="1" x14ac:dyDescent="0.2">
      <c r="A38" s="58"/>
      <c r="B38" s="55">
        <v>34</v>
      </c>
      <c r="C38" s="57"/>
      <c r="D38" s="57"/>
      <c r="E38" s="56"/>
      <c r="F38" s="59"/>
      <c r="G38" s="55"/>
      <c r="H38" s="62"/>
      <c r="I38" s="59"/>
      <c r="J38" s="57"/>
      <c r="K38" s="61" t="str">
        <f>IF(F38&lt;&gt;"",F38*'🏠 INICIO'!$C$11,"")</f>
        <v/>
      </c>
    </row>
    <row r="39" spans="1:11" ht="15" customHeight="1" x14ac:dyDescent="0.2">
      <c r="A39" s="58"/>
      <c r="B39" s="45">
        <v>35</v>
      </c>
      <c r="C39" s="47"/>
      <c r="D39" s="47"/>
      <c r="E39" s="46"/>
      <c r="F39" s="59"/>
      <c r="G39" s="45"/>
      <c r="H39" s="60"/>
      <c r="I39" s="59"/>
      <c r="J39" s="47"/>
      <c r="K39" s="61" t="str">
        <f>IF(F39&lt;&gt;"",F39*'🏠 INICIO'!$C$11,"")</f>
        <v/>
      </c>
    </row>
    <row r="40" spans="1:11" ht="15" customHeight="1" x14ac:dyDescent="0.2">
      <c r="A40" s="58"/>
      <c r="B40" s="55">
        <v>36</v>
      </c>
      <c r="C40" s="57"/>
      <c r="D40" s="57"/>
      <c r="E40" s="56"/>
      <c r="F40" s="59"/>
      <c r="G40" s="55"/>
      <c r="H40" s="62"/>
      <c r="I40" s="59"/>
      <c r="J40" s="57"/>
      <c r="K40" s="61" t="str">
        <f>IF(F40&lt;&gt;"",F40*'🏠 INICIO'!$C$11,"")</f>
        <v/>
      </c>
    </row>
    <row r="41" spans="1:11" ht="15" customHeight="1" x14ac:dyDescent="0.2">
      <c r="A41" s="58"/>
      <c r="B41" s="45">
        <v>37</v>
      </c>
      <c r="C41" s="47"/>
      <c r="D41" s="47"/>
      <c r="E41" s="46"/>
      <c r="F41" s="59"/>
      <c r="G41" s="45"/>
      <c r="H41" s="60"/>
      <c r="I41" s="59"/>
      <c r="J41" s="47"/>
      <c r="K41" s="61" t="str">
        <f>IF(F41&lt;&gt;"",F41*'🏠 INICIO'!$C$11,"")</f>
        <v/>
      </c>
    </row>
    <row r="42" spans="1:11" ht="15" customHeight="1" x14ac:dyDescent="0.2">
      <c r="A42" s="58"/>
      <c r="B42" s="55">
        <v>38</v>
      </c>
      <c r="C42" s="57"/>
      <c r="D42" s="57"/>
      <c r="E42" s="56"/>
      <c r="F42" s="59"/>
      <c r="G42" s="55"/>
      <c r="H42" s="62"/>
      <c r="I42" s="59"/>
      <c r="J42" s="57"/>
      <c r="K42" s="61" t="str">
        <f>IF(F42&lt;&gt;"",F42*'🏠 INICIO'!$C$11,"")</f>
        <v/>
      </c>
    </row>
    <row r="43" spans="1:11" ht="15" customHeight="1" x14ac:dyDescent="0.2">
      <c r="A43" s="58"/>
      <c r="B43" s="45">
        <v>39</v>
      </c>
      <c r="C43" s="47"/>
      <c r="D43" s="47"/>
      <c r="E43" s="46"/>
      <c r="F43" s="59"/>
      <c r="G43" s="45"/>
      <c r="H43" s="60"/>
      <c r="I43" s="59"/>
      <c r="J43" s="47"/>
      <c r="K43" s="61" t="str">
        <f>IF(F43&lt;&gt;"",F43*'🏠 INICIO'!$C$11,"")</f>
        <v/>
      </c>
    </row>
    <row r="44" spans="1:11" ht="15" customHeight="1" x14ac:dyDescent="0.2">
      <c r="A44" s="58"/>
      <c r="B44" s="55">
        <v>40</v>
      </c>
      <c r="C44" s="57"/>
      <c r="D44" s="57"/>
      <c r="E44" s="56"/>
      <c r="F44" s="59"/>
      <c r="G44" s="55"/>
      <c r="H44" s="62"/>
      <c r="I44" s="59"/>
      <c r="J44" s="57"/>
      <c r="K44" s="61" t="str">
        <f>IF(F44&lt;&gt;"",F44*'🏠 INICIO'!$C$11,"")</f>
        <v/>
      </c>
    </row>
    <row r="45" spans="1:11" ht="15" customHeight="1" x14ac:dyDescent="0.2">
      <c r="A45" s="58"/>
      <c r="B45" s="45">
        <v>41</v>
      </c>
      <c r="C45" s="47"/>
      <c r="D45" s="47"/>
      <c r="E45" s="46"/>
      <c r="F45" s="59"/>
      <c r="G45" s="45"/>
      <c r="H45" s="60"/>
      <c r="I45" s="59"/>
      <c r="J45" s="47"/>
      <c r="K45" s="61" t="str">
        <f>IF(F45&lt;&gt;"",F45*'🏠 INICIO'!$C$11,"")</f>
        <v/>
      </c>
    </row>
    <row r="46" spans="1:11" ht="15" customHeight="1" x14ac:dyDescent="0.2">
      <c r="A46" s="58"/>
      <c r="B46" s="55">
        <v>42</v>
      </c>
      <c r="C46" s="57"/>
      <c r="D46" s="57"/>
      <c r="E46" s="56"/>
      <c r="F46" s="59"/>
      <c r="G46" s="55"/>
      <c r="H46" s="62"/>
      <c r="I46" s="59"/>
      <c r="J46" s="57"/>
      <c r="K46" s="61" t="str">
        <f>IF(F46&lt;&gt;"",F46*'🏠 INICIO'!$C$11,"")</f>
        <v/>
      </c>
    </row>
    <row r="47" spans="1:11" ht="15" customHeight="1" x14ac:dyDescent="0.2">
      <c r="A47" s="58"/>
      <c r="B47" s="45">
        <v>43</v>
      </c>
      <c r="C47" s="47"/>
      <c r="D47" s="47"/>
      <c r="E47" s="46"/>
      <c r="F47" s="59"/>
      <c r="G47" s="45"/>
      <c r="H47" s="60"/>
      <c r="I47" s="59"/>
      <c r="J47" s="47"/>
      <c r="K47" s="61" t="str">
        <f>IF(F47&lt;&gt;"",F47*'🏠 INICIO'!$C$11,"")</f>
        <v/>
      </c>
    </row>
    <row r="48" spans="1:11" ht="15" customHeight="1" x14ac:dyDescent="0.2">
      <c r="A48" s="58"/>
      <c r="B48" s="55">
        <v>44</v>
      </c>
      <c r="C48" s="57"/>
      <c r="D48" s="57"/>
      <c r="E48" s="56"/>
      <c r="F48" s="59"/>
      <c r="G48" s="55"/>
      <c r="H48" s="62"/>
      <c r="I48" s="59"/>
      <c r="J48" s="57"/>
      <c r="K48" s="61" t="str">
        <f>IF(F48&lt;&gt;"",F48*'🏠 INICIO'!$C$11,"")</f>
        <v/>
      </c>
    </row>
    <row r="49" spans="1:11" ht="15" customHeight="1" x14ac:dyDescent="0.2">
      <c r="A49" s="58"/>
      <c r="B49" s="45">
        <v>45</v>
      </c>
      <c r="C49" s="47"/>
      <c r="D49" s="47"/>
      <c r="E49" s="46"/>
      <c r="F49" s="59"/>
      <c r="G49" s="45"/>
      <c r="H49" s="60"/>
      <c r="I49" s="59"/>
      <c r="J49" s="47"/>
      <c r="K49" s="61" t="str">
        <f>IF(F49&lt;&gt;"",F49*'🏠 INICIO'!$C$11,"")</f>
        <v/>
      </c>
    </row>
    <row r="50" spans="1:11" ht="15" customHeight="1" x14ac:dyDescent="0.2">
      <c r="A50" s="58"/>
      <c r="B50" s="55">
        <v>46</v>
      </c>
      <c r="C50" s="57"/>
      <c r="D50" s="57"/>
      <c r="E50" s="56"/>
      <c r="F50" s="59"/>
      <c r="G50" s="55"/>
      <c r="H50" s="62"/>
      <c r="I50" s="59"/>
      <c r="J50" s="57"/>
      <c r="K50" s="61" t="str">
        <f>IF(F50&lt;&gt;"",F50*'🏠 INICIO'!$C$11,"")</f>
        <v/>
      </c>
    </row>
    <row r="51" spans="1:11" ht="15" customHeight="1" x14ac:dyDescent="0.2">
      <c r="A51" s="58"/>
      <c r="B51" s="45">
        <v>47</v>
      </c>
      <c r="C51" s="47"/>
      <c r="D51" s="47"/>
      <c r="E51" s="46"/>
      <c r="F51" s="59"/>
      <c r="G51" s="45"/>
      <c r="H51" s="60"/>
      <c r="I51" s="59"/>
      <c r="J51" s="47"/>
      <c r="K51" s="61" t="str">
        <f>IF(F51&lt;&gt;"",F51*'🏠 INICIO'!$C$11,"")</f>
        <v/>
      </c>
    </row>
    <row r="52" spans="1:11" ht="15" customHeight="1" x14ac:dyDescent="0.2">
      <c r="A52" s="58"/>
      <c r="B52" s="55">
        <v>48</v>
      </c>
      <c r="C52" s="57"/>
      <c r="D52" s="57"/>
      <c r="E52" s="56"/>
      <c r="F52" s="59"/>
      <c r="G52" s="55"/>
      <c r="H52" s="62"/>
      <c r="I52" s="59"/>
      <c r="J52" s="57"/>
      <c r="K52" s="61" t="str">
        <f>IF(F52&lt;&gt;"",F52*'🏠 INICIO'!$C$11,"")</f>
        <v/>
      </c>
    </row>
    <row r="53" spans="1:11" ht="15" customHeight="1" x14ac:dyDescent="0.2">
      <c r="A53" s="58"/>
      <c r="B53" s="45">
        <v>49</v>
      </c>
      <c r="C53" s="47"/>
      <c r="D53" s="47"/>
      <c r="E53" s="46"/>
      <c r="F53" s="59"/>
      <c r="G53" s="45"/>
      <c r="H53" s="60"/>
      <c r="I53" s="59"/>
      <c r="J53" s="47"/>
      <c r="K53" s="61" t="str">
        <f>IF(F53&lt;&gt;"",F53*'🏠 INICIO'!$C$11,"")</f>
        <v/>
      </c>
    </row>
    <row r="54" spans="1:11" ht="15" customHeight="1" x14ac:dyDescent="0.2">
      <c r="A54" s="58"/>
      <c r="B54" s="55">
        <v>50</v>
      </c>
      <c r="C54" s="57"/>
      <c r="D54" s="57"/>
      <c r="E54" s="56"/>
      <c r="F54" s="59"/>
      <c r="G54" s="55"/>
      <c r="H54" s="62"/>
      <c r="I54" s="59"/>
      <c r="J54" s="57"/>
      <c r="K54" s="61" t="str">
        <f>IF(F54&lt;&gt;"",F54*'🏠 INICIO'!$C$11,"")</f>
        <v/>
      </c>
    </row>
    <row r="56" spans="1:11" ht="24" customHeight="1" x14ac:dyDescent="0.2">
      <c r="A56" s="82" t="s">
        <v>120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</row>
    <row r="57" spans="1:11" ht="23.25" customHeight="1" x14ac:dyDescent="0.2">
      <c r="A57" s="105" t="s">
        <v>114</v>
      </c>
      <c r="B57" s="105"/>
      <c r="C57" s="105" t="s">
        <v>115</v>
      </c>
      <c r="D57" s="105"/>
      <c r="E57" s="106" t="s">
        <v>116</v>
      </c>
      <c r="F57" s="106"/>
      <c r="G57" s="107" t="s">
        <v>117</v>
      </c>
      <c r="H57" s="107"/>
      <c r="I57" s="108" t="s">
        <v>118</v>
      </c>
      <c r="J57" s="108"/>
    </row>
    <row r="58" spans="1:11" ht="25.5" customHeight="1" x14ac:dyDescent="0.2">
      <c r="A58" s="98">
        <f>SUM(F5:F54)</f>
        <v>0</v>
      </c>
      <c r="B58" s="98"/>
      <c r="C58" s="99">
        <f>COUNTIF(H5:H54,"PAGADO")</f>
        <v>0</v>
      </c>
      <c r="D58" s="99"/>
      <c r="E58" s="100">
        <f>COUNTIF(H5:H54,"FALTA CANCELAR")</f>
        <v>0</v>
      </c>
      <c r="F58" s="100"/>
      <c r="G58" s="101">
        <f>SUM(I5:I54)</f>
        <v>0</v>
      </c>
      <c r="H58" s="101"/>
      <c r="I58" s="102">
        <f>SUM(K5:K54)</f>
        <v>0</v>
      </c>
      <c r="J58" s="102"/>
    </row>
  </sheetData>
  <mergeCells count="14">
    <mergeCell ref="A1:K1"/>
    <mergeCell ref="A2:K2"/>
    <mergeCell ref="A3:K3"/>
    <mergeCell ref="A56:K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</mergeCells>
  <conditionalFormatting sqref="H5:H54">
    <cfRule type="expression" dxfId="32" priority="2">
      <formula>$H5="PAGADO"</formula>
    </cfRule>
    <cfRule type="expression" dxfId="31" priority="3">
      <formula>$H5="FALTA CANCELAR"</formula>
    </cfRule>
    <cfRule type="expression" dxfId="30" priority="4">
      <formula>$H5="ADELANTO"</formula>
    </cfRule>
  </conditionalFormatting>
  <dataValidations count="4">
    <dataValidation type="list" allowBlank="1" sqref="A5:A54" xr:uid="{00000000-0002-0000-0400-000000000000}">
      <formula1>"1,2,3,4,5,6,7,8,9,10,11,12,13,14,15,16,17,18,19,20"</formula1>
      <formula2>0</formula2>
    </dataValidation>
    <dataValidation type="list" allowBlank="1" sqref="E5:E54" xr:uid="{00000000-0002-0000-0400-000001000000}">
      <formula1>"YANBAL,ESIKA,CYZONE,LBEL,NATURA,AVON,FARMASI,ORIFLAME,OTRO"</formula1>
      <formula2>0</formula2>
    </dataValidation>
    <dataValidation type="list" allowBlank="1" sqref="G5:G54" xr:uid="{00000000-0002-0000-0400-000002000000}">
      <formula1>"YAPE,PLIN,EFECTIVO,TRANSFERENCIA,MIXTO"</formula1>
      <formula2>0</formula2>
    </dataValidation>
    <dataValidation type="list" allowBlank="1" sqref="H5:H54" xr:uid="{00000000-0002-0000-04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39DDB"/>
    <pageSetUpPr fitToPage="1"/>
  </sheetPr>
  <dimension ref="A1:K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K1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  <col min="11" max="11" width="13" customWidth="1"/>
  </cols>
  <sheetData>
    <row r="1" spans="1:11" ht="27.75" customHeight="1" x14ac:dyDescent="0.2">
      <c r="A1" s="95" t="s">
        <v>121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15" customHeight="1" x14ac:dyDescent="0.2">
      <c r="A2" s="103" t="s">
        <v>99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ht="15" customHeight="1" x14ac:dyDescent="0.2">
      <c r="A3" s="104" t="s">
        <v>100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1" ht="33.75" customHeight="1" x14ac:dyDescent="0.2">
      <c r="A4" s="18" t="s">
        <v>101</v>
      </c>
      <c r="B4" s="15" t="s">
        <v>39</v>
      </c>
      <c r="C4" s="15" t="s">
        <v>102</v>
      </c>
      <c r="D4" s="15" t="s">
        <v>41</v>
      </c>
      <c r="E4" s="15" t="s">
        <v>40</v>
      </c>
      <c r="F4" s="18" t="s">
        <v>103</v>
      </c>
      <c r="G4" s="15" t="s">
        <v>104</v>
      </c>
      <c r="H4" s="15" t="s">
        <v>105</v>
      </c>
      <c r="I4" s="15" t="s">
        <v>106</v>
      </c>
      <c r="J4" s="15" t="s">
        <v>107</v>
      </c>
      <c r="K4" s="15" t="s">
        <v>108</v>
      </c>
    </row>
    <row r="5" spans="1:11" ht="15" customHeight="1" x14ac:dyDescent="0.2">
      <c r="A5" s="58"/>
      <c r="B5" s="45">
        <v>1</v>
      </c>
      <c r="C5" s="47"/>
      <c r="D5" s="47"/>
      <c r="E5" s="46"/>
      <c r="F5" s="59"/>
      <c r="G5" s="45"/>
      <c r="H5" s="60"/>
      <c r="I5" s="59"/>
      <c r="J5" s="47"/>
      <c r="K5" s="61" t="str">
        <f>IF(F5&lt;&gt;"",F5*'🏠 INICIO'!$C$11,"")</f>
        <v/>
      </c>
    </row>
    <row r="6" spans="1:11" ht="15" customHeight="1" x14ac:dyDescent="0.2">
      <c r="A6" s="58"/>
      <c r="B6" s="55">
        <v>2</v>
      </c>
      <c r="C6" s="57"/>
      <c r="D6" s="57"/>
      <c r="E6" s="56"/>
      <c r="F6" s="59"/>
      <c r="G6" s="55"/>
      <c r="H6" s="62"/>
      <c r="I6" s="59"/>
      <c r="J6" s="57"/>
      <c r="K6" s="61" t="str">
        <f>IF(F6&lt;&gt;"",F6*'🏠 INICIO'!$C$11,"")</f>
        <v/>
      </c>
    </row>
    <row r="7" spans="1:11" ht="15" customHeight="1" x14ac:dyDescent="0.2">
      <c r="A7" s="58"/>
      <c r="B7" s="45">
        <v>3</v>
      </c>
      <c r="C7" s="47"/>
      <c r="D7" s="47"/>
      <c r="E7" s="46"/>
      <c r="F7" s="59"/>
      <c r="G7" s="45"/>
      <c r="H7" s="60"/>
      <c r="I7" s="59"/>
      <c r="J7" s="47"/>
      <c r="K7" s="61" t="str">
        <f>IF(F7&lt;&gt;"",F7*'🏠 INICIO'!$C$11,"")</f>
        <v/>
      </c>
    </row>
    <row r="8" spans="1:11" ht="15" customHeight="1" x14ac:dyDescent="0.2">
      <c r="A8" s="58"/>
      <c r="B8" s="55">
        <v>4</v>
      </c>
      <c r="C8" s="57"/>
      <c r="D8" s="57"/>
      <c r="E8" s="56"/>
      <c r="F8" s="59"/>
      <c r="G8" s="55"/>
      <c r="H8" s="62"/>
      <c r="I8" s="59"/>
      <c r="J8" s="57"/>
      <c r="K8" s="61" t="str">
        <f>IF(F8&lt;&gt;"",F8*'🏠 INICIO'!$C$11,"")</f>
        <v/>
      </c>
    </row>
    <row r="9" spans="1:11" ht="15" customHeight="1" x14ac:dyDescent="0.2">
      <c r="A9" s="58"/>
      <c r="B9" s="45">
        <v>5</v>
      </c>
      <c r="C9" s="47"/>
      <c r="D9" s="47"/>
      <c r="E9" s="46"/>
      <c r="F9" s="59"/>
      <c r="G9" s="45"/>
      <c r="H9" s="60"/>
      <c r="I9" s="59"/>
      <c r="J9" s="47"/>
      <c r="K9" s="61" t="str">
        <f>IF(F9&lt;&gt;"",F9*'🏠 INICIO'!$C$11,"")</f>
        <v/>
      </c>
    </row>
    <row r="10" spans="1:11" ht="15" customHeight="1" x14ac:dyDescent="0.2">
      <c r="A10" s="58"/>
      <c r="B10" s="55">
        <v>6</v>
      </c>
      <c r="C10" s="57"/>
      <c r="D10" s="57"/>
      <c r="E10" s="56"/>
      <c r="F10" s="59"/>
      <c r="G10" s="55"/>
      <c r="H10" s="62"/>
      <c r="I10" s="59"/>
      <c r="J10" s="57"/>
      <c r="K10" s="61" t="str">
        <f>IF(F10&lt;&gt;"",F10*'🏠 INICIO'!$C$11,"")</f>
        <v/>
      </c>
    </row>
    <row r="11" spans="1:11" ht="15" customHeight="1" x14ac:dyDescent="0.2">
      <c r="A11" s="58"/>
      <c r="B11" s="45">
        <v>7</v>
      </c>
      <c r="C11" s="47"/>
      <c r="D11" s="47"/>
      <c r="E11" s="46"/>
      <c r="F11" s="59"/>
      <c r="G11" s="45"/>
      <c r="H11" s="60"/>
      <c r="I11" s="59"/>
      <c r="J11" s="47"/>
      <c r="K11" s="61" t="str">
        <f>IF(F11&lt;&gt;"",F11*'🏠 INICIO'!$C$11,"")</f>
        <v/>
      </c>
    </row>
    <row r="12" spans="1:11" ht="15" customHeight="1" x14ac:dyDescent="0.2">
      <c r="A12" s="58"/>
      <c r="B12" s="55">
        <v>8</v>
      </c>
      <c r="C12" s="57"/>
      <c r="D12" s="57"/>
      <c r="E12" s="56"/>
      <c r="F12" s="59"/>
      <c r="G12" s="55"/>
      <c r="H12" s="62"/>
      <c r="I12" s="59"/>
      <c r="J12" s="57"/>
      <c r="K12" s="61" t="str">
        <f>IF(F12&lt;&gt;"",F12*'🏠 INICIO'!$C$11,"")</f>
        <v/>
      </c>
    </row>
    <row r="13" spans="1:11" ht="15" customHeight="1" x14ac:dyDescent="0.2">
      <c r="A13" s="58"/>
      <c r="B13" s="45">
        <v>9</v>
      </c>
      <c r="C13" s="47"/>
      <c r="D13" s="47"/>
      <c r="E13" s="46"/>
      <c r="F13" s="59"/>
      <c r="G13" s="45"/>
      <c r="H13" s="60"/>
      <c r="I13" s="59"/>
      <c r="J13" s="47"/>
      <c r="K13" s="61" t="str">
        <f>IF(F13&lt;&gt;"",F13*'🏠 INICIO'!$C$11,"")</f>
        <v/>
      </c>
    </row>
    <row r="14" spans="1:11" ht="15" customHeight="1" x14ac:dyDescent="0.2">
      <c r="A14" s="58"/>
      <c r="B14" s="55">
        <v>10</v>
      </c>
      <c r="C14" s="57"/>
      <c r="D14" s="57"/>
      <c r="E14" s="56"/>
      <c r="F14" s="59"/>
      <c r="G14" s="55"/>
      <c r="H14" s="62"/>
      <c r="I14" s="59"/>
      <c r="J14" s="57"/>
      <c r="K14" s="61" t="str">
        <f>IF(F14&lt;&gt;"",F14*'🏠 INICIO'!$C$11,"")</f>
        <v/>
      </c>
    </row>
    <row r="15" spans="1:11" ht="15" customHeight="1" x14ac:dyDescent="0.2">
      <c r="A15" s="58"/>
      <c r="B15" s="45">
        <v>11</v>
      </c>
      <c r="C15" s="47"/>
      <c r="D15" s="47"/>
      <c r="E15" s="46"/>
      <c r="F15" s="59"/>
      <c r="G15" s="45"/>
      <c r="H15" s="60"/>
      <c r="I15" s="59"/>
      <c r="J15" s="47"/>
      <c r="K15" s="61" t="str">
        <f>IF(F15&lt;&gt;"",F15*'🏠 INICIO'!$C$11,"")</f>
        <v/>
      </c>
    </row>
    <row r="16" spans="1:11" ht="15" customHeight="1" x14ac:dyDescent="0.2">
      <c r="A16" s="58"/>
      <c r="B16" s="55">
        <v>12</v>
      </c>
      <c r="C16" s="57"/>
      <c r="D16" s="57"/>
      <c r="E16" s="56"/>
      <c r="F16" s="59"/>
      <c r="G16" s="55"/>
      <c r="H16" s="62"/>
      <c r="I16" s="59"/>
      <c r="J16" s="57"/>
      <c r="K16" s="61" t="str">
        <f>IF(F16&lt;&gt;"",F16*'🏠 INICIO'!$C$11,"")</f>
        <v/>
      </c>
    </row>
    <row r="17" spans="1:11" ht="15" customHeight="1" x14ac:dyDescent="0.2">
      <c r="A17" s="58"/>
      <c r="B17" s="45">
        <v>13</v>
      </c>
      <c r="C17" s="47"/>
      <c r="D17" s="47"/>
      <c r="E17" s="46"/>
      <c r="F17" s="59"/>
      <c r="G17" s="45"/>
      <c r="H17" s="60"/>
      <c r="I17" s="59"/>
      <c r="J17" s="47"/>
      <c r="K17" s="61" t="str">
        <f>IF(F17&lt;&gt;"",F17*'🏠 INICIO'!$C$11,"")</f>
        <v/>
      </c>
    </row>
    <row r="18" spans="1:11" ht="15" customHeight="1" x14ac:dyDescent="0.2">
      <c r="A18" s="58"/>
      <c r="B18" s="55">
        <v>14</v>
      </c>
      <c r="C18" s="57"/>
      <c r="D18" s="57"/>
      <c r="E18" s="56"/>
      <c r="F18" s="59"/>
      <c r="G18" s="55"/>
      <c r="H18" s="62"/>
      <c r="I18" s="59"/>
      <c r="J18" s="57"/>
      <c r="K18" s="61" t="str">
        <f>IF(F18&lt;&gt;"",F18*'🏠 INICIO'!$C$11,"")</f>
        <v/>
      </c>
    </row>
    <row r="19" spans="1:11" ht="15" customHeight="1" x14ac:dyDescent="0.2">
      <c r="A19" s="58"/>
      <c r="B19" s="45">
        <v>15</v>
      </c>
      <c r="C19" s="47"/>
      <c r="D19" s="47"/>
      <c r="E19" s="46"/>
      <c r="F19" s="59"/>
      <c r="G19" s="45"/>
      <c r="H19" s="60"/>
      <c r="I19" s="59"/>
      <c r="J19" s="47"/>
      <c r="K19" s="61" t="str">
        <f>IF(F19&lt;&gt;"",F19*'🏠 INICIO'!$C$11,"")</f>
        <v/>
      </c>
    </row>
    <row r="20" spans="1:11" ht="15" customHeight="1" x14ac:dyDescent="0.2">
      <c r="A20" s="58"/>
      <c r="B20" s="55">
        <v>16</v>
      </c>
      <c r="C20" s="57"/>
      <c r="D20" s="57"/>
      <c r="E20" s="56"/>
      <c r="F20" s="59"/>
      <c r="G20" s="55"/>
      <c r="H20" s="62"/>
      <c r="I20" s="59"/>
      <c r="J20" s="57"/>
      <c r="K20" s="61" t="str">
        <f>IF(F20&lt;&gt;"",F20*'🏠 INICIO'!$C$11,"")</f>
        <v/>
      </c>
    </row>
    <row r="21" spans="1:11" ht="15" customHeight="1" x14ac:dyDescent="0.2">
      <c r="A21" s="58"/>
      <c r="B21" s="45">
        <v>17</v>
      </c>
      <c r="C21" s="47"/>
      <c r="D21" s="47"/>
      <c r="E21" s="46"/>
      <c r="F21" s="59"/>
      <c r="G21" s="45"/>
      <c r="H21" s="60"/>
      <c r="I21" s="59"/>
      <c r="J21" s="47"/>
      <c r="K21" s="61" t="str">
        <f>IF(F21&lt;&gt;"",F21*'🏠 INICIO'!$C$11,"")</f>
        <v/>
      </c>
    </row>
    <row r="22" spans="1:11" ht="15" customHeight="1" x14ac:dyDescent="0.2">
      <c r="A22" s="58"/>
      <c r="B22" s="55">
        <v>18</v>
      </c>
      <c r="C22" s="57"/>
      <c r="D22" s="57"/>
      <c r="E22" s="56"/>
      <c r="F22" s="59"/>
      <c r="G22" s="55"/>
      <c r="H22" s="62"/>
      <c r="I22" s="59"/>
      <c r="J22" s="57"/>
      <c r="K22" s="61" t="str">
        <f>IF(F22&lt;&gt;"",F22*'🏠 INICIO'!$C$11,"")</f>
        <v/>
      </c>
    </row>
    <row r="23" spans="1:11" ht="15" customHeight="1" x14ac:dyDescent="0.2">
      <c r="A23" s="58"/>
      <c r="B23" s="45">
        <v>19</v>
      </c>
      <c r="C23" s="47"/>
      <c r="D23" s="47"/>
      <c r="E23" s="46"/>
      <c r="F23" s="59"/>
      <c r="G23" s="45"/>
      <c r="H23" s="60"/>
      <c r="I23" s="59"/>
      <c r="J23" s="47"/>
      <c r="K23" s="61" t="str">
        <f>IF(F23&lt;&gt;"",F23*'🏠 INICIO'!$C$11,"")</f>
        <v/>
      </c>
    </row>
    <row r="24" spans="1:11" ht="15" customHeight="1" x14ac:dyDescent="0.2">
      <c r="A24" s="58"/>
      <c r="B24" s="55">
        <v>20</v>
      </c>
      <c r="C24" s="57"/>
      <c r="D24" s="57"/>
      <c r="E24" s="56"/>
      <c r="F24" s="59"/>
      <c r="G24" s="55"/>
      <c r="H24" s="62"/>
      <c r="I24" s="59"/>
      <c r="J24" s="57"/>
      <c r="K24" s="61" t="str">
        <f>IF(F24&lt;&gt;"",F24*'🏠 INICIO'!$C$11,"")</f>
        <v/>
      </c>
    </row>
    <row r="25" spans="1:11" ht="15" customHeight="1" x14ac:dyDescent="0.2">
      <c r="A25" s="58"/>
      <c r="B25" s="45">
        <v>21</v>
      </c>
      <c r="C25" s="47"/>
      <c r="D25" s="47"/>
      <c r="E25" s="46"/>
      <c r="F25" s="59"/>
      <c r="G25" s="45"/>
      <c r="H25" s="60"/>
      <c r="I25" s="59"/>
      <c r="J25" s="47"/>
      <c r="K25" s="61" t="str">
        <f>IF(F25&lt;&gt;"",F25*'🏠 INICIO'!$C$11,"")</f>
        <v/>
      </c>
    </row>
    <row r="26" spans="1:11" ht="15" customHeight="1" x14ac:dyDescent="0.2">
      <c r="A26" s="58"/>
      <c r="B26" s="55">
        <v>22</v>
      </c>
      <c r="C26" s="57"/>
      <c r="D26" s="57"/>
      <c r="E26" s="56"/>
      <c r="F26" s="59"/>
      <c r="G26" s="55"/>
      <c r="H26" s="62"/>
      <c r="I26" s="59"/>
      <c r="J26" s="57"/>
      <c r="K26" s="61" t="str">
        <f>IF(F26&lt;&gt;"",F26*'🏠 INICIO'!$C$11,"")</f>
        <v/>
      </c>
    </row>
    <row r="27" spans="1:11" ht="15" customHeight="1" x14ac:dyDescent="0.2">
      <c r="A27" s="58"/>
      <c r="B27" s="45">
        <v>23</v>
      </c>
      <c r="C27" s="47"/>
      <c r="D27" s="47"/>
      <c r="E27" s="46"/>
      <c r="F27" s="59"/>
      <c r="G27" s="45"/>
      <c r="H27" s="60"/>
      <c r="I27" s="59"/>
      <c r="J27" s="47"/>
      <c r="K27" s="61" t="str">
        <f>IF(F27&lt;&gt;"",F27*'🏠 INICIO'!$C$11,"")</f>
        <v/>
      </c>
    </row>
    <row r="28" spans="1:11" ht="15" customHeight="1" x14ac:dyDescent="0.2">
      <c r="A28" s="58"/>
      <c r="B28" s="55">
        <v>24</v>
      </c>
      <c r="C28" s="57"/>
      <c r="D28" s="57"/>
      <c r="E28" s="56"/>
      <c r="F28" s="59"/>
      <c r="G28" s="55"/>
      <c r="H28" s="62"/>
      <c r="I28" s="59"/>
      <c r="J28" s="57"/>
      <c r="K28" s="61" t="str">
        <f>IF(F28&lt;&gt;"",F28*'🏠 INICIO'!$C$11,"")</f>
        <v/>
      </c>
    </row>
    <row r="29" spans="1:11" ht="15" customHeight="1" x14ac:dyDescent="0.2">
      <c r="A29" s="58"/>
      <c r="B29" s="45">
        <v>25</v>
      </c>
      <c r="C29" s="47"/>
      <c r="D29" s="47"/>
      <c r="E29" s="46"/>
      <c r="F29" s="59"/>
      <c r="G29" s="45"/>
      <c r="H29" s="60"/>
      <c r="I29" s="59"/>
      <c r="J29" s="47"/>
      <c r="K29" s="61" t="str">
        <f>IF(F29&lt;&gt;"",F29*'🏠 INICIO'!$C$11,"")</f>
        <v/>
      </c>
    </row>
    <row r="30" spans="1:11" ht="15" customHeight="1" x14ac:dyDescent="0.2">
      <c r="A30" s="58"/>
      <c r="B30" s="55">
        <v>26</v>
      </c>
      <c r="C30" s="57"/>
      <c r="D30" s="57"/>
      <c r="E30" s="56"/>
      <c r="F30" s="59"/>
      <c r="G30" s="55"/>
      <c r="H30" s="62"/>
      <c r="I30" s="59"/>
      <c r="J30" s="57"/>
      <c r="K30" s="61" t="str">
        <f>IF(F30&lt;&gt;"",F30*'🏠 INICIO'!$C$11,"")</f>
        <v/>
      </c>
    </row>
    <row r="31" spans="1:11" ht="15" customHeight="1" x14ac:dyDescent="0.2">
      <c r="A31" s="58"/>
      <c r="B31" s="45">
        <v>27</v>
      </c>
      <c r="C31" s="47"/>
      <c r="D31" s="47"/>
      <c r="E31" s="46"/>
      <c r="F31" s="59"/>
      <c r="G31" s="45"/>
      <c r="H31" s="60"/>
      <c r="I31" s="59"/>
      <c r="J31" s="47"/>
      <c r="K31" s="61" t="str">
        <f>IF(F31&lt;&gt;"",F31*'🏠 INICIO'!$C$11,"")</f>
        <v/>
      </c>
    </row>
    <row r="32" spans="1:11" ht="15" customHeight="1" x14ac:dyDescent="0.2">
      <c r="A32" s="58"/>
      <c r="B32" s="55">
        <v>28</v>
      </c>
      <c r="C32" s="57"/>
      <c r="D32" s="57"/>
      <c r="E32" s="56"/>
      <c r="F32" s="59"/>
      <c r="G32" s="55"/>
      <c r="H32" s="62"/>
      <c r="I32" s="59"/>
      <c r="J32" s="57"/>
      <c r="K32" s="61" t="str">
        <f>IF(F32&lt;&gt;"",F32*'🏠 INICIO'!$C$11,"")</f>
        <v/>
      </c>
    </row>
    <row r="33" spans="1:11" ht="15" customHeight="1" x14ac:dyDescent="0.2">
      <c r="A33" s="58"/>
      <c r="B33" s="45">
        <v>29</v>
      </c>
      <c r="C33" s="47"/>
      <c r="D33" s="47"/>
      <c r="E33" s="46"/>
      <c r="F33" s="59"/>
      <c r="G33" s="45"/>
      <c r="H33" s="60"/>
      <c r="I33" s="59"/>
      <c r="J33" s="47"/>
      <c r="K33" s="61" t="str">
        <f>IF(F33&lt;&gt;"",F33*'🏠 INICIO'!$C$11,"")</f>
        <v/>
      </c>
    </row>
    <row r="34" spans="1:11" ht="15" customHeight="1" x14ac:dyDescent="0.2">
      <c r="A34" s="58"/>
      <c r="B34" s="55">
        <v>30</v>
      </c>
      <c r="C34" s="57"/>
      <c r="D34" s="57"/>
      <c r="E34" s="56"/>
      <c r="F34" s="59"/>
      <c r="G34" s="55"/>
      <c r="H34" s="62"/>
      <c r="I34" s="59"/>
      <c r="J34" s="57"/>
      <c r="K34" s="61" t="str">
        <f>IF(F34&lt;&gt;"",F34*'🏠 INICIO'!$C$11,"")</f>
        <v/>
      </c>
    </row>
    <row r="35" spans="1:11" ht="15" customHeight="1" x14ac:dyDescent="0.2">
      <c r="A35" s="58"/>
      <c r="B35" s="45">
        <v>31</v>
      </c>
      <c r="C35" s="47"/>
      <c r="D35" s="47"/>
      <c r="E35" s="46"/>
      <c r="F35" s="59"/>
      <c r="G35" s="45"/>
      <c r="H35" s="60"/>
      <c r="I35" s="59"/>
      <c r="J35" s="47"/>
      <c r="K35" s="61" t="str">
        <f>IF(F35&lt;&gt;"",F35*'🏠 INICIO'!$C$11,"")</f>
        <v/>
      </c>
    </row>
    <row r="36" spans="1:11" ht="15" customHeight="1" x14ac:dyDescent="0.2">
      <c r="A36" s="58"/>
      <c r="B36" s="55">
        <v>32</v>
      </c>
      <c r="C36" s="57"/>
      <c r="D36" s="57"/>
      <c r="E36" s="56"/>
      <c r="F36" s="59"/>
      <c r="G36" s="55"/>
      <c r="H36" s="62"/>
      <c r="I36" s="59"/>
      <c r="J36" s="57"/>
      <c r="K36" s="61" t="str">
        <f>IF(F36&lt;&gt;"",F36*'🏠 INICIO'!$C$11,"")</f>
        <v/>
      </c>
    </row>
    <row r="37" spans="1:11" ht="15" customHeight="1" x14ac:dyDescent="0.2">
      <c r="A37" s="58"/>
      <c r="B37" s="45">
        <v>33</v>
      </c>
      <c r="C37" s="47"/>
      <c r="D37" s="47"/>
      <c r="E37" s="46"/>
      <c r="F37" s="59"/>
      <c r="G37" s="45"/>
      <c r="H37" s="60"/>
      <c r="I37" s="59"/>
      <c r="J37" s="47"/>
      <c r="K37" s="61" t="str">
        <f>IF(F37&lt;&gt;"",F37*'🏠 INICIO'!$C$11,"")</f>
        <v/>
      </c>
    </row>
    <row r="38" spans="1:11" ht="15" customHeight="1" x14ac:dyDescent="0.2">
      <c r="A38" s="58"/>
      <c r="B38" s="55">
        <v>34</v>
      </c>
      <c r="C38" s="57"/>
      <c r="D38" s="57"/>
      <c r="E38" s="56"/>
      <c r="F38" s="59"/>
      <c r="G38" s="55"/>
      <c r="H38" s="62"/>
      <c r="I38" s="59"/>
      <c r="J38" s="57"/>
      <c r="K38" s="61" t="str">
        <f>IF(F38&lt;&gt;"",F38*'🏠 INICIO'!$C$11,"")</f>
        <v/>
      </c>
    </row>
    <row r="39" spans="1:11" ht="15" customHeight="1" x14ac:dyDescent="0.2">
      <c r="A39" s="58"/>
      <c r="B39" s="45">
        <v>35</v>
      </c>
      <c r="C39" s="47"/>
      <c r="D39" s="47"/>
      <c r="E39" s="46"/>
      <c r="F39" s="59"/>
      <c r="G39" s="45"/>
      <c r="H39" s="60"/>
      <c r="I39" s="59"/>
      <c r="J39" s="47"/>
      <c r="K39" s="61" t="str">
        <f>IF(F39&lt;&gt;"",F39*'🏠 INICIO'!$C$11,"")</f>
        <v/>
      </c>
    </row>
    <row r="40" spans="1:11" ht="15" customHeight="1" x14ac:dyDescent="0.2">
      <c r="A40" s="58"/>
      <c r="B40" s="55">
        <v>36</v>
      </c>
      <c r="C40" s="57"/>
      <c r="D40" s="57"/>
      <c r="E40" s="56"/>
      <c r="F40" s="59"/>
      <c r="G40" s="55"/>
      <c r="H40" s="62"/>
      <c r="I40" s="59"/>
      <c r="J40" s="57"/>
      <c r="K40" s="61" t="str">
        <f>IF(F40&lt;&gt;"",F40*'🏠 INICIO'!$C$11,"")</f>
        <v/>
      </c>
    </row>
    <row r="41" spans="1:11" ht="15" customHeight="1" x14ac:dyDescent="0.2">
      <c r="A41" s="58"/>
      <c r="B41" s="45">
        <v>37</v>
      </c>
      <c r="C41" s="47"/>
      <c r="D41" s="47"/>
      <c r="E41" s="46"/>
      <c r="F41" s="59"/>
      <c r="G41" s="45"/>
      <c r="H41" s="60"/>
      <c r="I41" s="59"/>
      <c r="J41" s="47"/>
      <c r="K41" s="61" t="str">
        <f>IF(F41&lt;&gt;"",F41*'🏠 INICIO'!$C$11,"")</f>
        <v/>
      </c>
    </row>
    <row r="42" spans="1:11" ht="15" customHeight="1" x14ac:dyDescent="0.2">
      <c r="A42" s="58"/>
      <c r="B42" s="55">
        <v>38</v>
      </c>
      <c r="C42" s="57"/>
      <c r="D42" s="57"/>
      <c r="E42" s="56"/>
      <c r="F42" s="59"/>
      <c r="G42" s="55"/>
      <c r="H42" s="62"/>
      <c r="I42" s="59"/>
      <c r="J42" s="57"/>
      <c r="K42" s="61" t="str">
        <f>IF(F42&lt;&gt;"",F42*'🏠 INICIO'!$C$11,"")</f>
        <v/>
      </c>
    </row>
    <row r="43" spans="1:11" ht="15" customHeight="1" x14ac:dyDescent="0.2">
      <c r="A43" s="58"/>
      <c r="B43" s="45">
        <v>39</v>
      </c>
      <c r="C43" s="47"/>
      <c r="D43" s="47"/>
      <c r="E43" s="46"/>
      <c r="F43" s="59"/>
      <c r="G43" s="45"/>
      <c r="H43" s="60"/>
      <c r="I43" s="59"/>
      <c r="J43" s="47"/>
      <c r="K43" s="61" t="str">
        <f>IF(F43&lt;&gt;"",F43*'🏠 INICIO'!$C$11,"")</f>
        <v/>
      </c>
    </row>
    <row r="44" spans="1:11" ht="15" customHeight="1" x14ac:dyDescent="0.2">
      <c r="A44" s="58"/>
      <c r="B44" s="55">
        <v>40</v>
      </c>
      <c r="C44" s="57"/>
      <c r="D44" s="57"/>
      <c r="E44" s="56"/>
      <c r="F44" s="59"/>
      <c r="G44" s="55"/>
      <c r="H44" s="62"/>
      <c r="I44" s="59"/>
      <c r="J44" s="57"/>
      <c r="K44" s="61" t="str">
        <f>IF(F44&lt;&gt;"",F44*'🏠 INICIO'!$C$11,"")</f>
        <v/>
      </c>
    </row>
    <row r="45" spans="1:11" ht="15" customHeight="1" x14ac:dyDescent="0.2">
      <c r="A45" s="58"/>
      <c r="B45" s="45">
        <v>41</v>
      </c>
      <c r="C45" s="47"/>
      <c r="D45" s="47"/>
      <c r="E45" s="46"/>
      <c r="F45" s="59"/>
      <c r="G45" s="45"/>
      <c r="H45" s="60"/>
      <c r="I45" s="59"/>
      <c r="J45" s="47"/>
      <c r="K45" s="61" t="str">
        <f>IF(F45&lt;&gt;"",F45*'🏠 INICIO'!$C$11,"")</f>
        <v/>
      </c>
    </row>
    <row r="46" spans="1:11" ht="15" customHeight="1" x14ac:dyDescent="0.2">
      <c r="A46" s="58"/>
      <c r="B46" s="55">
        <v>42</v>
      </c>
      <c r="C46" s="57"/>
      <c r="D46" s="57"/>
      <c r="E46" s="56"/>
      <c r="F46" s="59"/>
      <c r="G46" s="55"/>
      <c r="H46" s="62"/>
      <c r="I46" s="59"/>
      <c r="J46" s="57"/>
      <c r="K46" s="61" t="str">
        <f>IF(F46&lt;&gt;"",F46*'🏠 INICIO'!$C$11,"")</f>
        <v/>
      </c>
    </row>
    <row r="47" spans="1:11" ht="15" customHeight="1" x14ac:dyDescent="0.2">
      <c r="A47" s="58"/>
      <c r="B47" s="45">
        <v>43</v>
      </c>
      <c r="C47" s="47"/>
      <c r="D47" s="47"/>
      <c r="E47" s="46"/>
      <c r="F47" s="59"/>
      <c r="G47" s="45"/>
      <c r="H47" s="60"/>
      <c r="I47" s="59"/>
      <c r="J47" s="47"/>
      <c r="K47" s="61" t="str">
        <f>IF(F47&lt;&gt;"",F47*'🏠 INICIO'!$C$11,"")</f>
        <v/>
      </c>
    </row>
    <row r="48" spans="1:11" ht="15" customHeight="1" x14ac:dyDescent="0.2">
      <c r="A48" s="58"/>
      <c r="B48" s="55">
        <v>44</v>
      </c>
      <c r="C48" s="57"/>
      <c r="D48" s="57"/>
      <c r="E48" s="56"/>
      <c r="F48" s="59"/>
      <c r="G48" s="55"/>
      <c r="H48" s="62"/>
      <c r="I48" s="59"/>
      <c r="J48" s="57"/>
      <c r="K48" s="61" t="str">
        <f>IF(F48&lt;&gt;"",F48*'🏠 INICIO'!$C$11,"")</f>
        <v/>
      </c>
    </row>
    <row r="49" spans="1:11" ht="15" customHeight="1" x14ac:dyDescent="0.2">
      <c r="A49" s="58"/>
      <c r="B49" s="45">
        <v>45</v>
      </c>
      <c r="C49" s="47"/>
      <c r="D49" s="47"/>
      <c r="E49" s="46"/>
      <c r="F49" s="59"/>
      <c r="G49" s="45"/>
      <c r="H49" s="60"/>
      <c r="I49" s="59"/>
      <c r="J49" s="47"/>
      <c r="K49" s="61" t="str">
        <f>IF(F49&lt;&gt;"",F49*'🏠 INICIO'!$C$11,"")</f>
        <v/>
      </c>
    </row>
    <row r="50" spans="1:11" ht="15" customHeight="1" x14ac:dyDescent="0.2">
      <c r="A50" s="58"/>
      <c r="B50" s="55">
        <v>46</v>
      </c>
      <c r="C50" s="57"/>
      <c r="D50" s="57"/>
      <c r="E50" s="56"/>
      <c r="F50" s="59"/>
      <c r="G50" s="55"/>
      <c r="H50" s="62"/>
      <c r="I50" s="59"/>
      <c r="J50" s="57"/>
      <c r="K50" s="61" t="str">
        <f>IF(F50&lt;&gt;"",F50*'🏠 INICIO'!$C$11,"")</f>
        <v/>
      </c>
    </row>
    <row r="51" spans="1:11" ht="15" customHeight="1" x14ac:dyDescent="0.2">
      <c r="A51" s="58"/>
      <c r="B51" s="45">
        <v>47</v>
      </c>
      <c r="C51" s="47"/>
      <c r="D51" s="47"/>
      <c r="E51" s="46"/>
      <c r="F51" s="59"/>
      <c r="G51" s="45"/>
      <c r="H51" s="60"/>
      <c r="I51" s="59"/>
      <c r="J51" s="47"/>
      <c r="K51" s="61" t="str">
        <f>IF(F51&lt;&gt;"",F51*'🏠 INICIO'!$C$11,"")</f>
        <v/>
      </c>
    </row>
    <row r="52" spans="1:11" ht="15" customHeight="1" x14ac:dyDescent="0.2">
      <c r="A52" s="58"/>
      <c r="B52" s="55">
        <v>48</v>
      </c>
      <c r="C52" s="57"/>
      <c r="D52" s="57"/>
      <c r="E52" s="56"/>
      <c r="F52" s="59"/>
      <c r="G52" s="55"/>
      <c r="H52" s="62"/>
      <c r="I52" s="59"/>
      <c r="J52" s="57"/>
      <c r="K52" s="61" t="str">
        <f>IF(F52&lt;&gt;"",F52*'🏠 INICIO'!$C$11,"")</f>
        <v/>
      </c>
    </row>
    <row r="53" spans="1:11" ht="15" customHeight="1" x14ac:dyDescent="0.2">
      <c r="A53" s="58"/>
      <c r="B53" s="45">
        <v>49</v>
      </c>
      <c r="C53" s="47"/>
      <c r="D53" s="47"/>
      <c r="E53" s="46"/>
      <c r="F53" s="59"/>
      <c r="G53" s="45"/>
      <c r="H53" s="60"/>
      <c r="I53" s="59"/>
      <c r="J53" s="47"/>
      <c r="K53" s="61" t="str">
        <f>IF(F53&lt;&gt;"",F53*'🏠 INICIO'!$C$11,"")</f>
        <v/>
      </c>
    </row>
    <row r="54" spans="1:11" ht="15" customHeight="1" x14ac:dyDescent="0.2">
      <c r="A54" s="58"/>
      <c r="B54" s="55">
        <v>50</v>
      </c>
      <c r="C54" s="57"/>
      <c r="D54" s="57"/>
      <c r="E54" s="56"/>
      <c r="F54" s="59"/>
      <c r="G54" s="55"/>
      <c r="H54" s="62"/>
      <c r="I54" s="59"/>
      <c r="J54" s="57"/>
      <c r="K54" s="61" t="str">
        <f>IF(F54&lt;&gt;"",F54*'🏠 INICIO'!$C$11,"")</f>
        <v/>
      </c>
    </row>
    <row r="56" spans="1:11" ht="24" customHeight="1" x14ac:dyDescent="0.2">
      <c r="A56" s="82" t="s">
        <v>122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</row>
    <row r="57" spans="1:11" ht="23.25" customHeight="1" x14ac:dyDescent="0.2">
      <c r="A57" s="105" t="s">
        <v>114</v>
      </c>
      <c r="B57" s="105"/>
      <c r="C57" s="105" t="s">
        <v>115</v>
      </c>
      <c r="D57" s="105"/>
      <c r="E57" s="106" t="s">
        <v>116</v>
      </c>
      <c r="F57" s="106"/>
      <c r="G57" s="107" t="s">
        <v>117</v>
      </c>
      <c r="H57" s="107"/>
      <c r="I57" s="108" t="s">
        <v>118</v>
      </c>
      <c r="J57" s="108"/>
    </row>
    <row r="58" spans="1:11" ht="25.5" customHeight="1" x14ac:dyDescent="0.2">
      <c r="A58" s="98">
        <f>SUM(F5:F54)</f>
        <v>0</v>
      </c>
      <c r="B58" s="98"/>
      <c r="C58" s="99">
        <f>COUNTIF(H5:H54,"PAGADO")</f>
        <v>0</v>
      </c>
      <c r="D58" s="99"/>
      <c r="E58" s="100">
        <f>COUNTIF(H5:H54,"FALTA CANCELAR")</f>
        <v>0</v>
      </c>
      <c r="F58" s="100"/>
      <c r="G58" s="101">
        <f>SUM(I5:I54)</f>
        <v>0</v>
      </c>
      <c r="H58" s="101"/>
      <c r="I58" s="102">
        <f>SUM(K5:K54)</f>
        <v>0</v>
      </c>
      <c r="J58" s="102"/>
    </row>
  </sheetData>
  <mergeCells count="14">
    <mergeCell ref="A1:K1"/>
    <mergeCell ref="A2:K2"/>
    <mergeCell ref="A3:K3"/>
    <mergeCell ref="A56:K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</mergeCells>
  <conditionalFormatting sqref="H5:H54">
    <cfRule type="expression" dxfId="29" priority="2">
      <formula>$H5="PAGADO"</formula>
    </cfRule>
    <cfRule type="expression" dxfId="28" priority="3">
      <formula>$H5="FALTA CANCELAR"</formula>
    </cfRule>
    <cfRule type="expression" dxfId="27" priority="4">
      <formula>$H5="ADELANTO"</formula>
    </cfRule>
  </conditionalFormatting>
  <dataValidations count="4">
    <dataValidation type="list" allowBlank="1" sqref="A5:A54" xr:uid="{00000000-0002-0000-0500-000000000000}">
      <formula1>"1,2,3,4,5,6,7,8,9,10,11,12,13,14,15,16,17,18,19,20"</formula1>
      <formula2>0</formula2>
    </dataValidation>
    <dataValidation type="list" allowBlank="1" sqref="E5:E54" xr:uid="{00000000-0002-0000-0500-000001000000}">
      <formula1>"YANBAL,ESIKA,CYZONE,LBEL,NATURA,AVON,FARMASI,ORIFLAME,OTRO"</formula1>
      <formula2>0</formula2>
    </dataValidation>
    <dataValidation type="list" allowBlank="1" sqref="G5:G54" xr:uid="{00000000-0002-0000-0500-000002000000}">
      <formula1>"YAPE,PLIN,EFECTIVO,TRANSFERENCIA,MIXTO"</formula1>
      <formula2>0</formula2>
    </dataValidation>
    <dataValidation type="list" allowBlank="1" sqref="H5:H54" xr:uid="{00000000-0002-0000-05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39DDB"/>
    <pageSetUpPr fitToPage="1"/>
  </sheetPr>
  <dimension ref="A1:K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  <col min="11" max="11" width="13" customWidth="1"/>
  </cols>
  <sheetData>
    <row r="1" spans="1:11" ht="27.75" customHeight="1" x14ac:dyDescent="0.2">
      <c r="A1" s="95" t="s">
        <v>123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15" customHeight="1" x14ac:dyDescent="0.2">
      <c r="A2" s="103" t="s">
        <v>99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ht="15" customHeight="1" x14ac:dyDescent="0.2">
      <c r="A3" s="104" t="s">
        <v>100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1" ht="33.75" customHeight="1" x14ac:dyDescent="0.2">
      <c r="A4" s="18" t="s">
        <v>101</v>
      </c>
      <c r="B4" s="15" t="s">
        <v>39</v>
      </c>
      <c r="C4" s="15" t="s">
        <v>102</v>
      </c>
      <c r="D4" s="15" t="s">
        <v>41</v>
      </c>
      <c r="E4" s="15" t="s">
        <v>40</v>
      </c>
      <c r="F4" s="18" t="s">
        <v>103</v>
      </c>
      <c r="G4" s="15" t="s">
        <v>104</v>
      </c>
      <c r="H4" s="15" t="s">
        <v>105</v>
      </c>
      <c r="I4" s="15" t="s">
        <v>106</v>
      </c>
      <c r="J4" s="15" t="s">
        <v>107</v>
      </c>
      <c r="K4" s="15" t="s">
        <v>108</v>
      </c>
    </row>
    <row r="5" spans="1:11" ht="15" customHeight="1" x14ac:dyDescent="0.2">
      <c r="A5" s="58"/>
      <c r="B5" s="45">
        <v>1</v>
      </c>
      <c r="C5" s="47"/>
      <c r="D5" s="47"/>
      <c r="E5" s="46"/>
      <c r="F5" s="59"/>
      <c r="G5" s="45"/>
      <c r="H5" s="60"/>
      <c r="I5" s="59"/>
      <c r="J5" s="47"/>
      <c r="K5" s="61" t="str">
        <f>IF(F5&lt;&gt;"",F5*'🏠 INICIO'!$C$11,"")</f>
        <v/>
      </c>
    </row>
    <row r="6" spans="1:11" ht="15" customHeight="1" x14ac:dyDescent="0.2">
      <c r="A6" s="58"/>
      <c r="B6" s="55">
        <v>2</v>
      </c>
      <c r="C6" s="57"/>
      <c r="D6" s="57"/>
      <c r="E6" s="56"/>
      <c r="F6" s="59"/>
      <c r="G6" s="55"/>
      <c r="H6" s="62"/>
      <c r="I6" s="59"/>
      <c r="J6" s="57"/>
      <c r="K6" s="61" t="str">
        <f>IF(F6&lt;&gt;"",F6*'🏠 INICIO'!$C$11,"")</f>
        <v/>
      </c>
    </row>
    <row r="7" spans="1:11" ht="15" customHeight="1" x14ac:dyDescent="0.2">
      <c r="A7" s="58"/>
      <c r="B7" s="45">
        <v>3</v>
      </c>
      <c r="C7" s="47"/>
      <c r="D7" s="47"/>
      <c r="E7" s="46"/>
      <c r="F7" s="59"/>
      <c r="G7" s="45"/>
      <c r="H7" s="60"/>
      <c r="I7" s="59"/>
      <c r="J7" s="47"/>
      <c r="K7" s="61" t="str">
        <f>IF(F7&lt;&gt;"",F7*'🏠 INICIO'!$C$11,"")</f>
        <v/>
      </c>
    </row>
    <row r="8" spans="1:11" ht="15" customHeight="1" x14ac:dyDescent="0.2">
      <c r="A8" s="58"/>
      <c r="B8" s="55">
        <v>4</v>
      </c>
      <c r="C8" s="57"/>
      <c r="D8" s="57"/>
      <c r="E8" s="56"/>
      <c r="F8" s="59"/>
      <c r="G8" s="55"/>
      <c r="H8" s="62"/>
      <c r="I8" s="59"/>
      <c r="J8" s="57"/>
      <c r="K8" s="61" t="str">
        <f>IF(F8&lt;&gt;"",F8*'🏠 INICIO'!$C$11,"")</f>
        <v/>
      </c>
    </row>
    <row r="9" spans="1:11" ht="15" customHeight="1" x14ac:dyDescent="0.2">
      <c r="A9" s="58"/>
      <c r="B9" s="45">
        <v>5</v>
      </c>
      <c r="C9" s="47"/>
      <c r="D9" s="47"/>
      <c r="E9" s="46"/>
      <c r="F9" s="59"/>
      <c r="G9" s="45"/>
      <c r="H9" s="60"/>
      <c r="I9" s="59"/>
      <c r="J9" s="47"/>
      <c r="K9" s="61" t="str">
        <f>IF(F9&lt;&gt;"",F9*'🏠 INICIO'!$C$11,"")</f>
        <v/>
      </c>
    </row>
    <row r="10" spans="1:11" ht="15" customHeight="1" x14ac:dyDescent="0.2">
      <c r="A10" s="58"/>
      <c r="B10" s="55">
        <v>6</v>
      </c>
      <c r="C10" s="57"/>
      <c r="D10" s="57"/>
      <c r="E10" s="56"/>
      <c r="F10" s="59"/>
      <c r="G10" s="55"/>
      <c r="H10" s="62"/>
      <c r="I10" s="59"/>
      <c r="J10" s="57"/>
      <c r="K10" s="61" t="str">
        <f>IF(F10&lt;&gt;"",F10*'🏠 INICIO'!$C$11,"")</f>
        <v/>
      </c>
    </row>
    <row r="11" spans="1:11" ht="15" customHeight="1" x14ac:dyDescent="0.2">
      <c r="A11" s="58"/>
      <c r="B11" s="45">
        <v>7</v>
      </c>
      <c r="C11" s="47"/>
      <c r="D11" s="47"/>
      <c r="E11" s="46"/>
      <c r="F11" s="59"/>
      <c r="G11" s="45"/>
      <c r="H11" s="60"/>
      <c r="I11" s="59"/>
      <c r="J11" s="47"/>
      <c r="K11" s="61" t="str">
        <f>IF(F11&lt;&gt;"",F11*'🏠 INICIO'!$C$11,"")</f>
        <v/>
      </c>
    </row>
    <row r="12" spans="1:11" ht="15" customHeight="1" x14ac:dyDescent="0.2">
      <c r="A12" s="58"/>
      <c r="B12" s="55">
        <v>8</v>
      </c>
      <c r="C12" s="57"/>
      <c r="D12" s="57"/>
      <c r="E12" s="56"/>
      <c r="F12" s="59"/>
      <c r="G12" s="55"/>
      <c r="H12" s="62"/>
      <c r="I12" s="59"/>
      <c r="J12" s="57"/>
      <c r="K12" s="61" t="str">
        <f>IF(F12&lt;&gt;"",F12*'🏠 INICIO'!$C$11,"")</f>
        <v/>
      </c>
    </row>
    <row r="13" spans="1:11" ht="15" customHeight="1" x14ac:dyDescent="0.2">
      <c r="A13" s="58"/>
      <c r="B13" s="45">
        <v>9</v>
      </c>
      <c r="C13" s="47"/>
      <c r="D13" s="47"/>
      <c r="E13" s="46"/>
      <c r="F13" s="59"/>
      <c r="G13" s="45"/>
      <c r="H13" s="60"/>
      <c r="I13" s="59"/>
      <c r="J13" s="47"/>
      <c r="K13" s="61" t="str">
        <f>IF(F13&lt;&gt;"",F13*'🏠 INICIO'!$C$11,"")</f>
        <v/>
      </c>
    </row>
    <row r="14" spans="1:11" ht="15" customHeight="1" x14ac:dyDescent="0.2">
      <c r="A14" s="58"/>
      <c r="B14" s="55">
        <v>10</v>
      </c>
      <c r="C14" s="57"/>
      <c r="D14" s="57"/>
      <c r="E14" s="56"/>
      <c r="F14" s="59"/>
      <c r="G14" s="55"/>
      <c r="H14" s="62"/>
      <c r="I14" s="59"/>
      <c r="J14" s="57"/>
      <c r="K14" s="61" t="str">
        <f>IF(F14&lt;&gt;"",F14*'🏠 INICIO'!$C$11,"")</f>
        <v/>
      </c>
    </row>
    <row r="15" spans="1:11" ht="15" customHeight="1" x14ac:dyDescent="0.2">
      <c r="A15" s="58"/>
      <c r="B15" s="45">
        <v>11</v>
      </c>
      <c r="C15" s="47"/>
      <c r="D15" s="47"/>
      <c r="E15" s="46"/>
      <c r="F15" s="59"/>
      <c r="G15" s="45"/>
      <c r="H15" s="60"/>
      <c r="I15" s="59"/>
      <c r="J15" s="47"/>
      <c r="K15" s="61" t="str">
        <f>IF(F15&lt;&gt;"",F15*'🏠 INICIO'!$C$11,"")</f>
        <v/>
      </c>
    </row>
    <row r="16" spans="1:11" ht="15" customHeight="1" x14ac:dyDescent="0.2">
      <c r="A16" s="58"/>
      <c r="B16" s="55">
        <v>12</v>
      </c>
      <c r="C16" s="57"/>
      <c r="D16" s="57"/>
      <c r="E16" s="56"/>
      <c r="F16" s="59"/>
      <c r="G16" s="55"/>
      <c r="H16" s="62"/>
      <c r="I16" s="59"/>
      <c r="J16" s="57"/>
      <c r="K16" s="61" t="str">
        <f>IF(F16&lt;&gt;"",F16*'🏠 INICIO'!$C$11,"")</f>
        <v/>
      </c>
    </row>
    <row r="17" spans="1:11" ht="15" customHeight="1" x14ac:dyDescent="0.2">
      <c r="A17" s="58"/>
      <c r="B17" s="45">
        <v>13</v>
      </c>
      <c r="C17" s="47"/>
      <c r="D17" s="47"/>
      <c r="E17" s="46"/>
      <c r="F17" s="59"/>
      <c r="G17" s="45"/>
      <c r="H17" s="60"/>
      <c r="I17" s="59"/>
      <c r="J17" s="47"/>
      <c r="K17" s="61" t="str">
        <f>IF(F17&lt;&gt;"",F17*'🏠 INICIO'!$C$11,"")</f>
        <v/>
      </c>
    </row>
    <row r="18" spans="1:11" ht="15" customHeight="1" x14ac:dyDescent="0.2">
      <c r="A18" s="58"/>
      <c r="B18" s="55">
        <v>14</v>
      </c>
      <c r="C18" s="57"/>
      <c r="D18" s="57"/>
      <c r="E18" s="56"/>
      <c r="F18" s="59"/>
      <c r="G18" s="55"/>
      <c r="H18" s="62"/>
      <c r="I18" s="59"/>
      <c r="J18" s="57"/>
      <c r="K18" s="61" t="str">
        <f>IF(F18&lt;&gt;"",F18*'🏠 INICIO'!$C$11,"")</f>
        <v/>
      </c>
    </row>
    <row r="19" spans="1:11" ht="15" customHeight="1" x14ac:dyDescent="0.2">
      <c r="A19" s="58"/>
      <c r="B19" s="45">
        <v>15</v>
      </c>
      <c r="C19" s="47"/>
      <c r="D19" s="47"/>
      <c r="E19" s="46"/>
      <c r="F19" s="59"/>
      <c r="G19" s="45"/>
      <c r="H19" s="60"/>
      <c r="I19" s="59"/>
      <c r="J19" s="47"/>
      <c r="K19" s="61" t="str">
        <f>IF(F19&lt;&gt;"",F19*'🏠 INICIO'!$C$11,"")</f>
        <v/>
      </c>
    </row>
    <row r="20" spans="1:11" ht="15" customHeight="1" x14ac:dyDescent="0.2">
      <c r="A20" s="58"/>
      <c r="B20" s="55">
        <v>16</v>
      </c>
      <c r="C20" s="57"/>
      <c r="D20" s="57"/>
      <c r="E20" s="56"/>
      <c r="F20" s="59"/>
      <c r="G20" s="55"/>
      <c r="H20" s="62"/>
      <c r="I20" s="59"/>
      <c r="J20" s="57"/>
      <c r="K20" s="61" t="str">
        <f>IF(F20&lt;&gt;"",F20*'🏠 INICIO'!$C$11,"")</f>
        <v/>
      </c>
    </row>
    <row r="21" spans="1:11" ht="15" customHeight="1" x14ac:dyDescent="0.2">
      <c r="A21" s="58"/>
      <c r="B21" s="45">
        <v>17</v>
      </c>
      <c r="C21" s="47"/>
      <c r="D21" s="47"/>
      <c r="E21" s="46"/>
      <c r="F21" s="59"/>
      <c r="G21" s="45"/>
      <c r="H21" s="60"/>
      <c r="I21" s="59"/>
      <c r="J21" s="47"/>
      <c r="K21" s="61" t="str">
        <f>IF(F21&lt;&gt;"",F21*'🏠 INICIO'!$C$11,"")</f>
        <v/>
      </c>
    </row>
    <row r="22" spans="1:11" ht="15" customHeight="1" x14ac:dyDescent="0.2">
      <c r="A22" s="58"/>
      <c r="B22" s="55">
        <v>18</v>
      </c>
      <c r="C22" s="57"/>
      <c r="D22" s="57"/>
      <c r="E22" s="56"/>
      <c r="F22" s="59"/>
      <c r="G22" s="55"/>
      <c r="H22" s="62"/>
      <c r="I22" s="59"/>
      <c r="J22" s="57"/>
      <c r="K22" s="61" t="str">
        <f>IF(F22&lt;&gt;"",F22*'🏠 INICIO'!$C$11,"")</f>
        <v/>
      </c>
    </row>
    <row r="23" spans="1:11" ht="15" customHeight="1" x14ac:dyDescent="0.2">
      <c r="A23" s="58"/>
      <c r="B23" s="45">
        <v>19</v>
      </c>
      <c r="C23" s="47"/>
      <c r="D23" s="47"/>
      <c r="E23" s="46"/>
      <c r="F23" s="59"/>
      <c r="G23" s="45"/>
      <c r="H23" s="60"/>
      <c r="I23" s="59"/>
      <c r="J23" s="47"/>
      <c r="K23" s="61" t="str">
        <f>IF(F23&lt;&gt;"",F23*'🏠 INICIO'!$C$11,"")</f>
        <v/>
      </c>
    </row>
    <row r="24" spans="1:11" ht="15" customHeight="1" x14ac:dyDescent="0.2">
      <c r="A24" s="58"/>
      <c r="B24" s="55">
        <v>20</v>
      </c>
      <c r="C24" s="57"/>
      <c r="D24" s="57"/>
      <c r="E24" s="56"/>
      <c r="F24" s="59"/>
      <c r="G24" s="55"/>
      <c r="H24" s="62"/>
      <c r="I24" s="59"/>
      <c r="J24" s="57"/>
      <c r="K24" s="61" t="str">
        <f>IF(F24&lt;&gt;"",F24*'🏠 INICIO'!$C$11,"")</f>
        <v/>
      </c>
    </row>
    <row r="25" spans="1:11" ht="15" customHeight="1" x14ac:dyDescent="0.2">
      <c r="A25" s="58"/>
      <c r="B25" s="45">
        <v>21</v>
      </c>
      <c r="C25" s="47"/>
      <c r="D25" s="47"/>
      <c r="E25" s="46"/>
      <c r="F25" s="59"/>
      <c r="G25" s="45"/>
      <c r="H25" s="60"/>
      <c r="I25" s="59"/>
      <c r="J25" s="47"/>
      <c r="K25" s="61" t="str">
        <f>IF(F25&lt;&gt;"",F25*'🏠 INICIO'!$C$11,"")</f>
        <v/>
      </c>
    </row>
    <row r="26" spans="1:11" ht="15" customHeight="1" x14ac:dyDescent="0.2">
      <c r="A26" s="58"/>
      <c r="B26" s="55">
        <v>22</v>
      </c>
      <c r="C26" s="57"/>
      <c r="D26" s="57"/>
      <c r="E26" s="56"/>
      <c r="F26" s="59"/>
      <c r="G26" s="55"/>
      <c r="H26" s="62"/>
      <c r="I26" s="59"/>
      <c r="J26" s="57"/>
      <c r="K26" s="61" t="str">
        <f>IF(F26&lt;&gt;"",F26*'🏠 INICIO'!$C$11,"")</f>
        <v/>
      </c>
    </row>
    <row r="27" spans="1:11" ht="15" customHeight="1" x14ac:dyDescent="0.2">
      <c r="A27" s="58"/>
      <c r="B27" s="45">
        <v>23</v>
      </c>
      <c r="C27" s="47"/>
      <c r="D27" s="47"/>
      <c r="E27" s="46"/>
      <c r="F27" s="59"/>
      <c r="G27" s="45"/>
      <c r="H27" s="60"/>
      <c r="I27" s="59"/>
      <c r="J27" s="47"/>
      <c r="K27" s="61" t="str">
        <f>IF(F27&lt;&gt;"",F27*'🏠 INICIO'!$C$11,"")</f>
        <v/>
      </c>
    </row>
    <row r="28" spans="1:11" ht="15" customHeight="1" x14ac:dyDescent="0.2">
      <c r="A28" s="58"/>
      <c r="B28" s="55">
        <v>24</v>
      </c>
      <c r="C28" s="57"/>
      <c r="D28" s="57"/>
      <c r="E28" s="56"/>
      <c r="F28" s="59"/>
      <c r="G28" s="55"/>
      <c r="H28" s="62"/>
      <c r="I28" s="59"/>
      <c r="J28" s="57"/>
      <c r="K28" s="61" t="str">
        <f>IF(F28&lt;&gt;"",F28*'🏠 INICIO'!$C$11,"")</f>
        <v/>
      </c>
    </row>
    <row r="29" spans="1:11" ht="15" customHeight="1" x14ac:dyDescent="0.2">
      <c r="A29" s="58"/>
      <c r="B29" s="45">
        <v>25</v>
      </c>
      <c r="C29" s="47"/>
      <c r="D29" s="47"/>
      <c r="E29" s="46"/>
      <c r="F29" s="59"/>
      <c r="G29" s="45"/>
      <c r="H29" s="60"/>
      <c r="I29" s="59"/>
      <c r="J29" s="47"/>
      <c r="K29" s="61" t="str">
        <f>IF(F29&lt;&gt;"",F29*'🏠 INICIO'!$C$11,"")</f>
        <v/>
      </c>
    </row>
    <row r="30" spans="1:11" ht="15" customHeight="1" x14ac:dyDescent="0.2">
      <c r="A30" s="58"/>
      <c r="B30" s="55">
        <v>26</v>
      </c>
      <c r="C30" s="57"/>
      <c r="D30" s="57"/>
      <c r="E30" s="56"/>
      <c r="F30" s="59"/>
      <c r="G30" s="55"/>
      <c r="H30" s="62"/>
      <c r="I30" s="59"/>
      <c r="J30" s="57"/>
      <c r="K30" s="61" t="str">
        <f>IF(F30&lt;&gt;"",F30*'🏠 INICIO'!$C$11,"")</f>
        <v/>
      </c>
    </row>
    <row r="31" spans="1:11" ht="15" customHeight="1" x14ac:dyDescent="0.2">
      <c r="A31" s="58"/>
      <c r="B31" s="45">
        <v>27</v>
      </c>
      <c r="C31" s="47"/>
      <c r="D31" s="47"/>
      <c r="E31" s="46"/>
      <c r="F31" s="59"/>
      <c r="G31" s="45"/>
      <c r="H31" s="60"/>
      <c r="I31" s="59"/>
      <c r="J31" s="47"/>
      <c r="K31" s="61" t="str">
        <f>IF(F31&lt;&gt;"",F31*'🏠 INICIO'!$C$11,"")</f>
        <v/>
      </c>
    </row>
    <row r="32" spans="1:11" ht="15" customHeight="1" x14ac:dyDescent="0.2">
      <c r="A32" s="58"/>
      <c r="B32" s="55">
        <v>28</v>
      </c>
      <c r="C32" s="57"/>
      <c r="D32" s="57"/>
      <c r="E32" s="56"/>
      <c r="F32" s="59"/>
      <c r="G32" s="55"/>
      <c r="H32" s="62"/>
      <c r="I32" s="59"/>
      <c r="J32" s="57"/>
      <c r="K32" s="61" t="str">
        <f>IF(F32&lt;&gt;"",F32*'🏠 INICIO'!$C$11,"")</f>
        <v/>
      </c>
    </row>
    <row r="33" spans="1:11" ht="15" customHeight="1" x14ac:dyDescent="0.2">
      <c r="A33" s="58"/>
      <c r="B33" s="45">
        <v>29</v>
      </c>
      <c r="C33" s="47"/>
      <c r="D33" s="47"/>
      <c r="E33" s="46"/>
      <c r="F33" s="59"/>
      <c r="G33" s="45"/>
      <c r="H33" s="60"/>
      <c r="I33" s="59"/>
      <c r="J33" s="47"/>
      <c r="K33" s="61" t="str">
        <f>IF(F33&lt;&gt;"",F33*'🏠 INICIO'!$C$11,"")</f>
        <v/>
      </c>
    </row>
    <row r="34" spans="1:11" ht="15" customHeight="1" x14ac:dyDescent="0.2">
      <c r="A34" s="58"/>
      <c r="B34" s="55">
        <v>30</v>
      </c>
      <c r="C34" s="57"/>
      <c r="D34" s="57"/>
      <c r="E34" s="56"/>
      <c r="F34" s="59"/>
      <c r="G34" s="55"/>
      <c r="H34" s="62"/>
      <c r="I34" s="59"/>
      <c r="J34" s="57"/>
      <c r="K34" s="61" t="str">
        <f>IF(F34&lt;&gt;"",F34*'🏠 INICIO'!$C$11,"")</f>
        <v/>
      </c>
    </row>
    <row r="35" spans="1:11" ht="15" customHeight="1" x14ac:dyDescent="0.2">
      <c r="A35" s="58"/>
      <c r="B35" s="45">
        <v>31</v>
      </c>
      <c r="C35" s="47"/>
      <c r="D35" s="47"/>
      <c r="E35" s="46"/>
      <c r="F35" s="59"/>
      <c r="G35" s="45"/>
      <c r="H35" s="60"/>
      <c r="I35" s="59"/>
      <c r="J35" s="47"/>
      <c r="K35" s="61" t="str">
        <f>IF(F35&lt;&gt;"",F35*'🏠 INICIO'!$C$11,"")</f>
        <v/>
      </c>
    </row>
    <row r="36" spans="1:11" ht="15" customHeight="1" x14ac:dyDescent="0.2">
      <c r="A36" s="58"/>
      <c r="B36" s="55">
        <v>32</v>
      </c>
      <c r="C36" s="57"/>
      <c r="D36" s="57"/>
      <c r="E36" s="56"/>
      <c r="F36" s="59"/>
      <c r="G36" s="55"/>
      <c r="H36" s="62"/>
      <c r="I36" s="59"/>
      <c r="J36" s="57"/>
      <c r="K36" s="61" t="str">
        <f>IF(F36&lt;&gt;"",F36*'🏠 INICIO'!$C$11,"")</f>
        <v/>
      </c>
    </row>
    <row r="37" spans="1:11" ht="15" customHeight="1" x14ac:dyDescent="0.2">
      <c r="A37" s="58"/>
      <c r="B37" s="45">
        <v>33</v>
      </c>
      <c r="C37" s="47"/>
      <c r="D37" s="47"/>
      <c r="E37" s="46"/>
      <c r="F37" s="59"/>
      <c r="G37" s="45"/>
      <c r="H37" s="60"/>
      <c r="I37" s="59"/>
      <c r="J37" s="47"/>
      <c r="K37" s="61" t="str">
        <f>IF(F37&lt;&gt;"",F37*'🏠 INICIO'!$C$11,"")</f>
        <v/>
      </c>
    </row>
    <row r="38" spans="1:11" ht="15" customHeight="1" x14ac:dyDescent="0.2">
      <c r="A38" s="58"/>
      <c r="B38" s="55">
        <v>34</v>
      </c>
      <c r="C38" s="57"/>
      <c r="D38" s="57"/>
      <c r="E38" s="56"/>
      <c r="F38" s="59"/>
      <c r="G38" s="55"/>
      <c r="H38" s="62"/>
      <c r="I38" s="59"/>
      <c r="J38" s="57"/>
      <c r="K38" s="61" t="str">
        <f>IF(F38&lt;&gt;"",F38*'🏠 INICIO'!$C$11,"")</f>
        <v/>
      </c>
    </row>
    <row r="39" spans="1:11" ht="15" customHeight="1" x14ac:dyDescent="0.2">
      <c r="A39" s="58"/>
      <c r="B39" s="45">
        <v>35</v>
      </c>
      <c r="C39" s="47"/>
      <c r="D39" s="47"/>
      <c r="E39" s="46"/>
      <c r="F39" s="59"/>
      <c r="G39" s="45"/>
      <c r="H39" s="60"/>
      <c r="I39" s="59"/>
      <c r="J39" s="47"/>
      <c r="K39" s="61" t="str">
        <f>IF(F39&lt;&gt;"",F39*'🏠 INICIO'!$C$11,"")</f>
        <v/>
      </c>
    </row>
    <row r="40" spans="1:11" ht="15" customHeight="1" x14ac:dyDescent="0.2">
      <c r="A40" s="58"/>
      <c r="B40" s="55">
        <v>36</v>
      </c>
      <c r="C40" s="57"/>
      <c r="D40" s="57"/>
      <c r="E40" s="56"/>
      <c r="F40" s="59"/>
      <c r="G40" s="55"/>
      <c r="H40" s="62"/>
      <c r="I40" s="59"/>
      <c r="J40" s="57"/>
      <c r="K40" s="61" t="str">
        <f>IF(F40&lt;&gt;"",F40*'🏠 INICIO'!$C$11,"")</f>
        <v/>
      </c>
    </row>
    <row r="41" spans="1:11" ht="15" customHeight="1" x14ac:dyDescent="0.2">
      <c r="A41" s="58"/>
      <c r="B41" s="45">
        <v>37</v>
      </c>
      <c r="C41" s="47"/>
      <c r="D41" s="47"/>
      <c r="E41" s="46"/>
      <c r="F41" s="59"/>
      <c r="G41" s="45"/>
      <c r="H41" s="60"/>
      <c r="I41" s="59"/>
      <c r="J41" s="47"/>
      <c r="K41" s="61" t="str">
        <f>IF(F41&lt;&gt;"",F41*'🏠 INICIO'!$C$11,"")</f>
        <v/>
      </c>
    </row>
    <row r="42" spans="1:11" ht="15" customHeight="1" x14ac:dyDescent="0.2">
      <c r="A42" s="58"/>
      <c r="B42" s="55">
        <v>38</v>
      </c>
      <c r="C42" s="57"/>
      <c r="D42" s="57"/>
      <c r="E42" s="56"/>
      <c r="F42" s="59"/>
      <c r="G42" s="55"/>
      <c r="H42" s="62"/>
      <c r="I42" s="59"/>
      <c r="J42" s="57"/>
      <c r="K42" s="61" t="str">
        <f>IF(F42&lt;&gt;"",F42*'🏠 INICIO'!$C$11,"")</f>
        <v/>
      </c>
    </row>
    <row r="43" spans="1:11" ht="15" customHeight="1" x14ac:dyDescent="0.2">
      <c r="A43" s="58"/>
      <c r="B43" s="45">
        <v>39</v>
      </c>
      <c r="C43" s="47"/>
      <c r="D43" s="47"/>
      <c r="E43" s="46"/>
      <c r="F43" s="59"/>
      <c r="G43" s="45"/>
      <c r="H43" s="60"/>
      <c r="I43" s="59"/>
      <c r="J43" s="47"/>
      <c r="K43" s="61" t="str">
        <f>IF(F43&lt;&gt;"",F43*'🏠 INICIO'!$C$11,"")</f>
        <v/>
      </c>
    </row>
    <row r="44" spans="1:11" ht="15" customHeight="1" x14ac:dyDescent="0.2">
      <c r="A44" s="58"/>
      <c r="B44" s="55">
        <v>40</v>
      </c>
      <c r="C44" s="57"/>
      <c r="D44" s="57"/>
      <c r="E44" s="56"/>
      <c r="F44" s="59"/>
      <c r="G44" s="55"/>
      <c r="H44" s="62"/>
      <c r="I44" s="59"/>
      <c r="J44" s="57"/>
      <c r="K44" s="61" t="str">
        <f>IF(F44&lt;&gt;"",F44*'🏠 INICIO'!$C$11,"")</f>
        <v/>
      </c>
    </row>
    <row r="45" spans="1:11" ht="15" customHeight="1" x14ac:dyDescent="0.2">
      <c r="A45" s="58"/>
      <c r="B45" s="45">
        <v>41</v>
      </c>
      <c r="C45" s="47"/>
      <c r="D45" s="47"/>
      <c r="E45" s="46"/>
      <c r="F45" s="59"/>
      <c r="G45" s="45"/>
      <c r="H45" s="60"/>
      <c r="I45" s="59"/>
      <c r="J45" s="47"/>
      <c r="K45" s="61" t="str">
        <f>IF(F45&lt;&gt;"",F45*'🏠 INICIO'!$C$11,"")</f>
        <v/>
      </c>
    </row>
    <row r="46" spans="1:11" ht="15" customHeight="1" x14ac:dyDescent="0.2">
      <c r="A46" s="58"/>
      <c r="B46" s="55">
        <v>42</v>
      </c>
      <c r="C46" s="57"/>
      <c r="D46" s="57"/>
      <c r="E46" s="56"/>
      <c r="F46" s="59"/>
      <c r="G46" s="55"/>
      <c r="H46" s="62"/>
      <c r="I46" s="59"/>
      <c r="J46" s="57"/>
      <c r="K46" s="61" t="str">
        <f>IF(F46&lt;&gt;"",F46*'🏠 INICIO'!$C$11,"")</f>
        <v/>
      </c>
    </row>
    <row r="47" spans="1:11" ht="15" customHeight="1" x14ac:dyDescent="0.2">
      <c r="A47" s="58"/>
      <c r="B47" s="45">
        <v>43</v>
      </c>
      <c r="C47" s="47"/>
      <c r="D47" s="47"/>
      <c r="E47" s="46"/>
      <c r="F47" s="59"/>
      <c r="G47" s="45"/>
      <c r="H47" s="60"/>
      <c r="I47" s="59"/>
      <c r="J47" s="47"/>
      <c r="K47" s="61" t="str">
        <f>IF(F47&lt;&gt;"",F47*'🏠 INICIO'!$C$11,"")</f>
        <v/>
      </c>
    </row>
    <row r="48" spans="1:11" ht="15" customHeight="1" x14ac:dyDescent="0.2">
      <c r="A48" s="58"/>
      <c r="B48" s="55">
        <v>44</v>
      </c>
      <c r="C48" s="57"/>
      <c r="D48" s="57"/>
      <c r="E48" s="56"/>
      <c r="F48" s="59"/>
      <c r="G48" s="55"/>
      <c r="H48" s="62"/>
      <c r="I48" s="59"/>
      <c r="J48" s="57"/>
      <c r="K48" s="61" t="str">
        <f>IF(F48&lt;&gt;"",F48*'🏠 INICIO'!$C$11,"")</f>
        <v/>
      </c>
    </row>
    <row r="49" spans="1:11" ht="15" customHeight="1" x14ac:dyDescent="0.2">
      <c r="A49" s="58"/>
      <c r="B49" s="45">
        <v>45</v>
      </c>
      <c r="C49" s="47"/>
      <c r="D49" s="47"/>
      <c r="E49" s="46"/>
      <c r="F49" s="59"/>
      <c r="G49" s="45"/>
      <c r="H49" s="60"/>
      <c r="I49" s="59"/>
      <c r="J49" s="47"/>
      <c r="K49" s="61" t="str">
        <f>IF(F49&lt;&gt;"",F49*'🏠 INICIO'!$C$11,"")</f>
        <v/>
      </c>
    </row>
    <row r="50" spans="1:11" ht="15" customHeight="1" x14ac:dyDescent="0.2">
      <c r="A50" s="58"/>
      <c r="B50" s="55">
        <v>46</v>
      </c>
      <c r="C50" s="57"/>
      <c r="D50" s="57"/>
      <c r="E50" s="56"/>
      <c r="F50" s="59"/>
      <c r="G50" s="55"/>
      <c r="H50" s="62"/>
      <c r="I50" s="59"/>
      <c r="J50" s="57"/>
      <c r="K50" s="61" t="str">
        <f>IF(F50&lt;&gt;"",F50*'🏠 INICIO'!$C$11,"")</f>
        <v/>
      </c>
    </row>
    <row r="51" spans="1:11" ht="15" customHeight="1" x14ac:dyDescent="0.2">
      <c r="A51" s="58"/>
      <c r="B51" s="45">
        <v>47</v>
      </c>
      <c r="C51" s="47"/>
      <c r="D51" s="47"/>
      <c r="E51" s="46"/>
      <c r="F51" s="59"/>
      <c r="G51" s="45"/>
      <c r="H51" s="60"/>
      <c r="I51" s="59"/>
      <c r="J51" s="47"/>
      <c r="K51" s="61" t="str">
        <f>IF(F51&lt;&gt;"",F51*'🏠 INICIO'!$C$11,"")</f>
        <v/>
      </c>
    </row>
    <row r="52" spans="1:11" ht="15" customHeight="1" x14ac:dyDescent="0.2">
      <c r="A52" s="58"/>
      <c r="B52" s="55">
        <v>48</v>
      </c>
      <c r="C52" s="57"/>
      <c r="D52" s="57"/>
      <c r="E52" s="56"/>
      <c r="F52" s="59"/>
      <c r="G52" s="55"/>
      <c r="H52" s="62"/>
      <c r="I52" s="59"/>
      <c r="J52" s="57"/>
      <c r="K52" s="61" t="str">
        <f>IF(F52&lt;&gt;"",F52*'🏠 INICIO'!$C$11,"")</f>
        <v/>
      </c>
    </row>
    <row r="53" spans="1:11" ht="15" customHeight="1" x14ac:dyDescent="0.2">
      <c r="A53" s="58"/>
      <c r="B53" s="45">
        <v>49</v>
      </c>
      <c r="C53" s="47"/>
      <c r="D53" s="47"/>
      <c r="E53" s="46"/>
      <c r="F53" s="59"/>
      <c r="G53" s="45"/>
      <c r="H53" s="60"/>
      <c r="I53" s="59"/>
      <c r="J53" s="47"/>
      <c r="K53" s="61" t="str">
        <f>IF(F53&lt;&gt;"",F53*'🏠 INICIO'!$C$11,"")</f>
        <v/>
      </c>
    </row>
    <row r="54" spans="1:11" ht="15" customHeight="1" x14ac:dyDescent="0.2">
      <c r="A54" s="58"/>
      <c r="B54" s="55">
        <v>50</v>
      </c>
      <c r="C54" s="57"/>
      <c r="D54" s="57"/>
      <c r="E54" s="56"/>
      <c r="F54" s="59"/>
      <c r="G54" s="55"/>
      <c r="H54" s="62"/>
      <c r="I54" s="59"/>
      <c r="J54" s="57"/>
      <c r="K54" s="61" t="str">
        <f>IF(F54&lt;&gt;"",F54*'🏠 INICIO'!$C$11,"")</f>
        <v/>
      </c>
    </row>
    <row r="56" spans="1:11" ht="24" customHeight="1" x14ac:dyDescent="0.2">
      <c r="A56" s="82" t="s">
        <v>124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</row>
    <row r="57" spans="1:11" ht="23.25" customHeight="1" x14ac:dyDescent="0.2">
      <c r="A57" s="105" t="s">
        <v>114</v>
      </c>
      <c r="B57" s="105"/>
      <c r="C57" s="105" t="s">
        <v>115</v>
      </c>
      <c r="D57" s="105"/>
      <c r="E57" s="106" t="s">
        <v>116</v>
      </c>
      <c r="F57" s="106"/>
      <c r="G57" s="107" t="s">
        <v>117</v>
      </c>
      <c r="H57" s="107"/>
      <c r="I57" s="108" t="s">
        <v>118</v>
      </c>
      <c r="J57" s="108"/>
    </row>
    <row r="58" spans="1:11" ht="25.5" customHeight="1" x14ac:dyDescent="0.2">
      <c r="A58" s="98">
        <f>SUM(F5:F54)</f>
        <v>0</v>
      </c>
      <c r="B58" s="98"/>
      <c r="C58" s="99">
        <f>COUNTIF(H5:H54,"PAGADO")</f>
        <v>0</v>
      </c>
      <c r="D58" s="99"/>
      <c r="E58" s="100">
        <f>COUNTIF(H5:H54,"FALTA CANCELAR")</f>
        <v>0</v>
      </c>
      <c r="F58" s="100"/>
      <c r="G58" s="101">
        <f>SUM(I5:I54)</f>
        <v>0</v>
      </c>
      <c r="H58" s="101"/>
      <c r="I58" s="102">
        <f>SUM(K5:K54)</f>
        <v>0</v>
      </c>
      <c r="J58" s="102"/>
    </row>
  </sheetData>
  <mergeCells count="14">
    <mergeCell ref="A1:K1"/>
    <mergeCell ref="A2:K2"/>
    <mergeCell ref="A3:K3"/>
    <mergeCell ref="A56:K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</mergeCells>
  <conditionalFormatting sqref="H5:H54">
    <cfRule type="expression" dxfId="26" priority="2">
      <formula>$H5="PAGADO"</formula>
    </cfRule>
    <cfRule type="expression" dxfId="25" priority="3">
      <formula>$H5="FALTA CANCELAR"</formula>
    </cfRule>
    <cfRule type="expression" dxfId="24" priority="4">
      <formula>$H5="ADELANTO"</formula>
    </cfRule>
  </conditionalFormatting>
  <dataValidations count="4">
    <dataValidation type="list" allowBlank="1" sqref="A5:A54" xr:uid="{00000000-0002-0000-0600-000000000000}">
      <formula1>"1,2,3,4,5,6,7,8,9,10,11,12,13,14,15,16,17,18,19,20"</formula1>
      <formula2>0</formula2>
    </dataValidation>
    <dataValidation type="list" allowBlank="1" sqref="E5:E54" xr:uid="{00000000-0002-0000-0600-000001000000}">
      <formula1>"YANBAL,ESIKA,CYZONE,LBEL,NATURA,AVON,FARMASI,ORIFLAME,OTRO"</formula1>
      <formula2>0</formula2>
    </dataValidation>
    <dataValidation type="list" allowBlank="1" sqref="G5:G54" xr:uid="{00000000-0002-0000-0600-000002000000}">
      <formula1>"YAPE,PLIN,EFECTIVO,TRANSFERENCIA,MIXTO"</formula1>
      <formula2>0</formula2>
    </dataValidation>
    <dataValidation type="list" allowBlank="1" sqref="H5:H54" xr:uid="{00000000-0002-0000-06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39DDB"/>
    <pageSetUpPr fitToPage="1"/>
  </sheetPr>
  <dimension ref="A1:K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  <col min="11" max="11" width="13" customWidth="1"/>
  </cols>
  <sheetData>
    <row r="1" spans="1:11" ht="27.75" customHeight="1" x14ac:dyDescent="0.2">
      <c r="A1" s="95" t="s">
        <v>125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15" customHeight="1" x14ac:dyDescent="0.2">
      <c r="A2" s="103" t="s">
        <v>99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ht="15" customHeight="1" x14ac:dyDescent="0.2">
      <c r="A3" s="104" t="s">
        <v>100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1" ht="33.75" customHeight="1" x14ac:dyDescent="0.2">
      <c r="A4" s="18" t="s">
        <v>101</v>
      </c>
      <c r="B4" s="15" t="s">
        <v>39</v>
      </c>
      <c r="C4" s="15" t="s">
        <v>102</v>
      </c>
      <c r="D4" s="15" t="s">
        <v>41</v>
      </c>
      <c r="E4" s="15" t="s">
        <v>40</v>
      </c>
      <c r="F4" s="18" t="s">
        <v>103</v>
      </c>
      <c r="G4" s="15" t="s">
        <v>104</v>
      </c>
      <c r="H4" s="15" t="s">
        <v>105</v>
      </c>
      <c r="I4" s="15" t="s">
        <v>106</v>
      </c>
      <c r="J4" s="15" t="s">
        <v>107</v>
      </c>
      <c r="K4" s="15" t="s">
        <v>108</v>
      </c>
    </row>
    <row r="5" spans="1:11" ht="15" customHeight="1" x14ac:dyDescent="0.2">
      <c r="A5" s="58"/>
      <c r="B5" s="45">
        <v>1</v>
      </c>
      <c r="C5" s="47"/>
      <c r="D5" s="47"/>
      <c r="E5" s="46"/>
      <c r="F5" s="59"/>
      <c r="G5" s="45"/>
      <c r="H5" s="60"/>
      <c r="I5" s="59"/>
      <c r="J5" s="47"/>
      <c r="K5" s="61" t="str">
        <f>IF(F5&lt;&gt;"",F5*'🏠 INICIO'!$C$11,"")</f>
        <v/>
      </c>
    </row>
    <row r="6" spans="1:11" ht="15" customHeight="1" x14ac:dyDescent="0.2">
      <c r="A6" s="58"/>
      <c r="B6" s="55">
        <v>2</v>
      </c>
      <c r="C6" s="57"/>
      <c r="D6" s="57"/>
      <c r="E6" s="56"/>
      <c r="F6" s="59"/>
      <c r="G6" s="55"/>
      <c r="H6" s="62"/>
      <c r="I6" s="59"/>
      <c r="J6" s="57"/>
      <c r="K6" s="61" t="str">
        <f>IF(F6&lt;&gt;"",F6*'🏠 INICIO'!$C$11,"")</f>
        <v/>
      </c>
    </row>
    <row r="7" spans="1:11" ht="15" customHeight="1" x14ac:dyDescent="0.2">
      <c r="A7" s="58"/>
      <c r="B7" s="45">
        <v>3</v>
      </c>
      <c r="C7" s="47"/>
      <c r="D7" s="47"/>
      <c r="E7" s="46"/>
      <c r="F7" s="59"/>
      <c r="G7" s="45"/>
      <c r="H7" s="60"/>
      <c r="I7" s="59"/>
      <c r="J7" s="47"/>
      <c r="K7" s="61" t="str">
        <f>IF(F7&lt;&gt;"",F7*'🏠 INICIO'!$C$11,"")</f>
        <v/>
      </c>
    </row>
    <row r="8" spans="1:11" ht="15" customHeight="1" x14ac:dyDescent="0.2">
      <c r="A8" s="58"/>
      <c r="B8" s="55">
        <v>4</v>
      </c>
      <c r="C8" s="57"/>
      <c r="D8" s="57"/>
      <c r="E8" s="56"/>
      <c r="F8" s="59"/>
      <c r="G8" s="55"/>
      <c r="H8" s="62"/>
      <c r="I8" s="59"/>
      <c r="J8" s="57"/>
      <c r="K8" s="61" t="str">
        <f>IF(F8&lt;&gt;"",F8*'🏠 INICIO'!$C$11,"")</f>
        <v/>
      </c>
    </row>
    <row r="9" spans="1:11" ht="15" customHeight="1" x14ac:dyDescent="0.2">
      <c r="A9" s="58"/>
      <c r="B9" s="45">
        <v>5</v>
      </c>
      <c r="C9" s="47"/>
      <c r="D9" s="47"/>
      <c r="E9" s="46"/>
      <c r="F9" s="59"/>
      <c r="G9" s="45"/>
      <c r="H9" s="60"/>
      <c r="I9" s="59"/>
      <c r="J9" s="47"/>
      <c r="K9" s="61" t="str">
        <f>IF(F9&lt;&gt;"",F9*'🏠 INICIO'!$C$11,"")</f>
        <v/>
      </c>
    </row>
    <row r="10" spans="1:11" ht="15" customHeight="1" x14ac:dyDescent="0.2">
      <c r="A10" s="58"/>
      <c r="B10" s="55">
        <v>6</v>
      </c>
      <c r="C10" s="57"/>
      <c r="D10" s="57"/>
      <c r="E10" s="56"/>
      <c r="F10" s="59"/>
      <c r="G10" s="55"/>
      <c r="H10" s="62"/>
      <c r="I10" s="59"/>
      <c r="J10" s="57"/>
      <c r="K10" s="61" t="str">
        <f>IF(F10&lt;&gt;"",F10*'🏠 INICIO'!$C$11,"")</f>
        <v/>
      </c>
    </row>
    <row r="11" spans="1:11" ht="15" customHeight="1" x14ac:dyDescent="0.2">
      <c r="A11" s="58"/>
      <c r="B11" s="45">
        <v>7</v>
      </c>
      <c r="C11" s="47"/>
      <c r="D11" s="47"/>
      <c r="E11" s="46"/>
      <c r="F11" s="59"/>
      <c r="G11" s="45"/>
      <c r="H11" s="60"/>
      <c r="I11" s="59"/>
      <c r="J11" s="47"/>
      <c r="K11" s="61" t="str">
        <f>IF(F11&lt;&gt;"",F11*'🏠 INICIO'!$C$11,"")</f>
        <v/>
      </c>
    </row>
    <row r="12" spans="1:11" ht="15" customHeight="1" x14ac:dyDescent="0.2">
      <c r="A12" s="58"/>
      <c r="B12" s="55">
        <v>8</v>
      </c>
      <c r="C12" s="57"/>
      <c r="D12" s="57"/>
      <c r="E12" s="56"/>
      <c r="F12" s="59"/>
      <c r="G12" s="55"/>
      <c r="H12" s="62"/>
      <c r="I12" s="59"/>
      <c r="J12" s="57"/>
      <c r="K12" s="61" t="str">
        <f>IF(F12&lt;&gt;"",F12*'🏠 INICIO'!$C$11,"")</f>
        <v/>
      </c>
    </row>
    <row r="13" spans="1:11" ht="15" customHeight="1" x14ac:dyDescent="0.2">
      <c r="A13" s="58"/>
      <c r="B13" s="45">
        <v>9</v>
      </c>
      <c r="C13" s="47"/>
      <c r="D13" s="47"/>
      <c r="E13" s="46"/>
      <c r="F13" s="59"/>
      <c r="G13" s="45"/>
      <c r="H13" s="60"/>
      <c r="I13" s="59"/>
      <c r="J13" s="47"/>
      <c r="K13" s="61" t="str">
        <f>IF(F13&lt;&gt;"",F13*'🏠 INICIO'!$C$11,"")</f>
        <v/>
      </c>
    </row>
    <row r="14" spans="1:11" ht="15" customHeight="1" x14ac:dyDescent="0.2">
      <c r="A14" s="58"/>
      <c r="B14" s="55">
        <v>10</v>
      </c>
      <c r="C14" s="57"/>
      <c r="D14" s="57"/>
      <c r="E14" s="56"/>
      <c r="F14" s="59"/>
      <c r="G14" s="55"/>
      <c r="H14" s="62"/>
      <c r="I14" s="59"/>
      <c r="J14" s="57"/>
      <c r="K14" s="61" t="str">
        <f>IF(F14&lt;&gt;"",F14*'🏠 INICIO'!$C$11,"")</f>
        <v/>
      </c>
    </row>
    <row r="15" spans="1:11" ht="15" customHeight="1" x14ac:dyDescent="0.2">
      <c r="A15" s="58"/>
      <c r="B15" s="45">
        <v>11</v>
      </c>
      <c r="C15" s="47"/>
      <c r="D15" s="47"/>
      <c r="E15" s="46"/>
      <c r="F15" s="59"/>
      <c r="G15" s="45"/>
      <c r="H15" s="60"/>
      <c r="I15" s="59"/>
      <c r="J15" s="47"/>
      <c r="K15" s="61" t="str">
        <f>IF(F15&lt;&gt;"",F15*'🏠 INICIO'!$C$11,"")</f>
        <v/>
      </c>
    </row>
    <row r="16" spans="1:11" ht="15" customHeight="1" x14ac:dyDescent="0.2">
      <c r="A16" s="58"/>
      <c r="B16" s="55">
        <v>12</v>
      </c>
      <c r="C16" s="57"/>
      <c r="D16" s="57"/>
      <c r="E16" s="56"/>
      <c r="F16" s="59"/>
      <c r="G16" s="55"/>
      <c r="H16" s="62"/>
      <c r="I16" s="59"/>
      <c r="J16" s="57"/>
      <c r="K16" s="61" t="str">
        <f>IF(F16&lt;&gt;"",F16*'🏠 INICIO'!$C$11,"")</f>
        <v/>
      </c>
    </row>
    <row r="17" spans="1:11" ht="15" customHeight="1" x14ac:dyDescent="0.2">
      <c r="A17" s="58"/>
      <c r="B17" s="45">
        <v>13</v>
      </c>
      <c r="C17" s="47"/>
      <c r="D17" s="47"/>
      <c r="E17" s="46"/>
      <c r="F17" s="59"/>
      <c r="G17" s="45"/>
      <c r="H17" s="60"/>
      <c r="I17" s="59"/>
      <c r="J17" s="47"/>
      <c r="K17" s="61" t="str">
        <f>IF(F17&lt;&gt;"",F17*'🏠 INICIO'!$C$11,"")</f>
        <v/>
      </c>
    </row>
    <row r="18" spans="1:11" ht="15" customHeight="1" x14ac:dyDescent="0.2">
      <c r="A18" s="58"/>
      <c r="B18" s="55">
        <v>14</v>
      </c>
      <c r="C18" s="57"/>
      <c r="D18" s="57"/>
      <c r="E18" s="56"/>
      <c r="F18" s="59"/>
      <c r="G18" s="55"/>
      <c r="H18" s="62"/>
      <c r="I18" s="59"/>
      <c r="J18" s="57"/>
      <c r="K18" s="61" t="str">
        <f>IF(F18&lt;&gt;"",F18*'🏠 INICIO'!$C$11,"")</f>
        <v/>
      </c>
    </row>
    <row r="19" spans="1:11" ht="15" customHeight="1" x14ac:dyDescent="0.2">
      <c r="A19" s="58"/>
      <c r="B19" s="45">
        <v>15</v>
      </c>
      <c r="C19" s="47"/>
      <c r="D19" s="47"/>
      <c r="E19" s="46"/>
      <c r="F19" s="59"/>
      <c r="G19" s="45"/>
      <c r="H19" s="60"/>
      <c r="I19" s="59"/>
      <c r="J19" s="47"/>
      <c r="K19" s="61" t="str">
        <f>IF(F19&lt;&gt;"",F19*'🏠 INICIO'!$C$11,"")</f>
        <v/>
      </c>
    </row>
    <row r="20" spans="1:11" ht="15" customHeight="1" x14ac:dyDescent="0.2">
      <c r="A20" s="58"/>
      <c r="B20" s="55">
        <v>16</v>
      </c>
      <c r="C20" s="57"/>
      <c r="D20" s="57"/>
      <c r="E20" s="56"/>
      <c r="F20" s="59"/>
      <c r="G20" s="55"/>
      <c r="H20" s="62"/>
      <c r="I20" s="59"/>
      <c r="J20" s="57"/>
      <c r="K20" s="61" t="str">
        <f>IF(F20&lt;&gt;"",F20*'🏠 INICIO'!$C$11,"")</f>
        <v/>
      </c>
    </row>
    <row r="21" spans="1:11" ht="15" customHeight="1" x14ac:dyDescent="0.2">
      <c r="A21" s="58"/>
      <c r="B21" s="45">
        <v>17</v>
      </c>
      <c r="C21" s="47"/>
      <c r="D21" s="47"/>
      <c r="E21" s="46"/>
      <c r="F21" s="59"/>
      <c r="G21" s="45"/>
      <c r="H21" s="60"/>
      <c r="I21" s="59"/>
      <c r="J21" s="47"/>
      <c r="K21" s="61" t="str">
        <f>IF(F21&lt;&gt;"",F21*'🏠 INICIO'!$C$11,"")</f>
        <v/>
      </c>
    </row>
    <row r="22" spans="1:11" ht="15" customHeight="1" x14ac:dyDescent="0.2">
      <c r="A22" s="58"/>
      <c r="B22" s="55">
        <v>18</v>
      </c>
      <c r="C22" s="57"/>
      <c r="D22" s="57"/>
      <c r="E22" s="56"/>
      <c r="F22" s="59"/>
      <c r="G22" s="55"/>
      <c r="H22" s="62"/>
      <c r="I22" s="59"/>
      <c r="J22" s="57"/>
      <c r="K22" s="61" t="str">
        <f>IF(F22&lt;&gt;"",F22*'🏠 INICIO'!$C$11,"")</f>
        <v/>
      </c>
    </row>
    <row r="23" spans="1:11" ht="15" customHeight="1" x14ac:dyDescent="0.2">
      <c r="A23" s="58"/>
      <c r="B23" s="45">
        <v>19</v>
      </c>
      <c r="C23" s="47"/>
      <c r="D23" s="47"/>
      <c r="E23" s="46"/>
      <c r="F23" s="59"/>
      <c r="G23" s="45"/>
      <c r="H23" s="60"/>
      <c r="I23" s="59"/>
      <c r="J23" s="47"/>
      <c r="K23" s="61" t="str">
        <f>IF(F23&lt;&gt;"",F23*'🏠 INICIO'!$C$11,"")</f>
        <v/>
      </c>
    </row>
    <row r="24" spans="1:11" ht="15" customHeight="1" x14ac:dyDescent="0.2">
      <c r="A24" s="58"/>
      <c r="B24" s="55">
        <v>20</v>
      </c>
      <c r="C24" s="57"/>
      <c r="D24" s="57"/>
      <c r="E24" s="56"/>
      <c r="F24" s="59"/>
      <c r="G24" s="55"/>
      <c r="H24" s="62"/>
      <c r="I24" s="59"/>
      <c r="J24" s="57"/>
      <c r="K24" s="61" t="str">
        <f>IF(F24&lt;&gt;"",F24*'🏠 INICIO'!$C$11,"")</f>
        <v/>
      </c>
    </row>
    <row r="25" spans="1:11" ht="15" customHeight="1" x14ac:dyDescent="0.2">
      <c r="A25" s="58"/>
      <c r="B25" s="45">
        <v>21</v>
      </c>
      <c r="C25" s="47"/>
      <c r="D25" s="47"/>
      <c r="E25" s="46"/>
      <c r="F25" s="59"/>
      <c r="G25" s="45"/>
      <c r="H25" s="60"/>
      <c r="I25" s="59"/>
      <c r="J25" s="47"/>
      <c r="K25" s="61" t="str">
        <f>IF(F25&lt;&gt;"",F25*'🏠 INICIO'!$C$11,"")</f>
        <v/>
      </c>
    </row>
    <row r="26" spans="1:11" ht="15" customHeight="1" x14ac:dyDescent="0.2">
      <c r="A26" s="58"/>
      <c r="B26" s="55">
        <v>22</v>
      </c>
      <c r="C26" s="57"/>
      <c r="D26" s="57"/>
      <c r="E26" s="56"/>
      <c r="F26" s="59"/>
      <c r="G26" s="55"/>
      <c r="H26" s="62"/>
      <c r="I26" s="59"/>
      <c r="J26" s="57"/>
      <c r="K26" s="61" t="str">
        <f>IF(F26&lt;&gt;"",F26*'🏠 INICIO'!$C$11,"")</f>
        <v/>
      </c>
    </row>
    <row r="27" spans="1:11" ht="15" customHeight="1" x14ac:dyDescent="0.2">
      <c r="A27" s="58"/>
      <c r="B27" s="45">
        <v>23</v>
      </c>
      <c r="C27" s="47"/>
      <c r="D27" s="47"/>
      <c r="E27" s="46"/>
      <c r="F27" s="59"/>
      <c r="G27" s="45"/>
      <c r="H27" s="60"/>
      <c r="I27" s="59"/>
      <c r="J27" s="47"/>
      <c r="K27" s="61" t="str">
        <f>IF(F27&lt;&gt;"",F27*'🏠 INICIO'!$C$11,"")</f>
        <v/>
      </c>
    </row>
    <row r="28" spans="1:11" ht="15" customHeight="1" x14ac:dyDescent="0.2">
      <c r="A28" s="58"/>
      <c r="B28" s="55">
        <v>24</v>
      </c>
      <c r="C28" s="57"/>
      <c r="D28" s="57"/>
      <c r="E28" s="56"/>
      <c r="F28" s="59"/>
      <c r="G28" s="55"/>
      <c r="H28" s="62"/>
      <c r="I28" s="59"/>
      <c r="J28" s="57"/>
      <c r="K28" s="61" t="str">
        <f>IF(F28&lt;&gt;"",F28*'🏠 INICIO'!$C$11,"")</f>
        <v/>
      </c>
    </row>
    <row r="29" spans="1:11" ht="15" customHeight="1" x14ac:dyDescent="0.2">
      <c r="A29" s="58"/>
      <c r="B29" s="45">
        <v>25</v>
      </c>
      <c r="C29" s="47"/>
      <c r="D29" s="47"/>
      <c r="E29" s="46"/>
      <c r="F29" s="59"/>
      <c r="G29" s="45"/>
      <c r="H29" s="60"/>
      <c r="I29" s="59"/>
      <c r="J29" s="47"/>
      <c r="K29" s="61" t="str">
        <f>IF(F29&lt;&gt;"",F29*'🏠 INICIO'!$C$11,"")</f>
        <v/>
      </c>
    </row>
    <row r="30" spans="1:11" ht="15" customHeight="1" x14ac:dyDescent="0.2">
      <c r="A30" s="58"/>
      <c r="B30" s="55">
        <v>26</v>
      </c>
      <c r="C30" s="57"/>
      <c r="D30" s="57"/>
      <c r="E30" s="56"/>
      <c r="F30" s="59"/>
      <c r="G30" s="55"/>
      <c r="H30" s="62"/>
      <c r="I30" s="59"/>
      <c r="J30" s="57"/>
      <c r="K30" s="61" t="str">
        <f>IF(F30&lt;&gt;"",F30*'🏠 INICIO'!$C$11,"")</f>
        <v/>
      </c>
    </row>
    <row r="31" spans="1:11" ht="15" customHeight="1" x14ac:dyDescent="0.2">
      <c r="A31" s="58"/>
      <c r="B31" s="45">
        <v>27</v>
      </c>
      <c r="C31" s="47"/>
      <c r="D31" s="47"/>
      <c r="E31" s="46"/>
      <c r="F31" s="59"/>
      <c r="G31" s="45"/>
      <c r="H31" s="60"/>
      <c r="I31" s="59"/>
      <c r="J31" s="47"/>
      <c r="K31" s="61" t="str">
        <f>IF(F31&lt;&gt;"",F31*'🏠 INICIO'!$C$11,"")</f>
        <v/>
      </c>
    </row>
    <row r="32" spans="1:11" ht="15" customHeight="1" x14ac:dyDescent="0.2">
      <c r="A32" s="58"/>
      <c r="B32" s="55">
        <v>28</v>
      </c>
      <c r="C32" s="57"/>
      <c r="D32" s="57"/>
      <c r="E32" s="56"/>
      <c r="F32" s="59"/>
      <c r="G32" s="55"/>
      <c r="H32" s="62"/>
      <c r="I32" s="59"/>
      <c r="J32" s="57"/>
      <c r="K32" s="61" t="str">
        <f>IF(F32&lt;&gt;"",F32*'🏠 INICIO'!$C$11,"")</f>
        <v/>
      </c>
    </row>
    <row r="33" spans="1:11" ht="15" customHeight="1" x14ac:dyDescent="0.2">
      <c r="A33" s="58"/>
      <c r="B33" s="45">
        <v>29</v>
      </c>
      <c r="C33" s="47"/>
      <c r="D33" s="47"/>
      <c r="E33" s="46"/>
      <c r="F33" s="59"/>
      <c r="G33" s="45"/>
      <c r="H33" s="60"/>
      <c r="I33" s="59"/>
      <c r="J33" s="47"/>
      <c r="K33" s="61" t="str">
        <f>IF(F33&lt;&gt;"",F33*'🏠 INICIO'!$C$11,"")</f>
        <v/>
      </c>
    </row>
    <row r="34" spans="1:11" ht="15" customHeight="1" x14ac:dyDescent="0.2">
      <c r="A34" s="58"/>
      <c r="B34" s="55">
        <v>30</v>
      </c>
      <c r="C34" s="57"/>
      <c r="D34" s="57"/>
      <c r="E34" s="56"/>
      <c r="F34" s="59"/>
      <c r="G34" s="55"/>
      <c r="H34" s="62"/>
      <c r="I34" s="59"/>
      <c r="J34" s="57"/>
      <c r="K34" s="61" t="str">
        <f>IF(F34&lt;&gt;"",F34*'🏠 INICIO'!$C$11,"")</f>
        <v/>
      </c>
    </row>
    <row r="35" spans="1:11" ht="15" customHeight="1" x14ac:dyDescent="0.2">
      <c r="A35" s="58"/>
      <c r="B35" s="45">
        <v>31</v>
      </c>
      <c r="C35" s="47"/>
      <c r="D35" s="47"/>
      <c r="E35" s="46"/>
      <c r="F35" s="59"/>
      <c r="G35" s="45"/>
      <c r="H35" s="60"/>
      <c r="I35" s="59"/>
      <c r="J35" s="47"/>
      <c r="K35" s="61" t="str">
        <f>IF(F35&lt;&gt;"",F35*'🏠 INICIO'!$C$11,"")</f>
        <v/>
      </c>
    </row>
    <row r="36" spans="1:11" ht="15" customHeight="1" x14ac:dyDescent="0.2">
      <c r="A36" s="58"/>
      <c r="B36" s="55">
        <v>32</v>
      </c>
      <c r="C36" s="57"/>
      <c r="D36" s="57"/>
      <c r="E36" s="56"/>
      <c r="F36" s="59"/>
      <c r="G36" s="55"/>
      <c r="H36" s="62"/>
      <c r="I36" s="59"/>
      <c r="J36" s="57"/>
      <c r="K36" s="61" t="str">
        <f>IF(F36&lt;&gt;"",F36*'🏠 INICIO'!$C$11,"")</f>
        <v/>
      </c>
    </row>
    <row r="37" spans="1:11" ht="15" customHeight="1" x14ac:dyDescent="0.2">
      <c r="A37" s="58"/>
      <c r="B37" s="45">
        <v>33</v>
      </c>
      <c r="C37" s="47"/>
      <c r="D37" s="47"/>
      <c r="E37" s="46"/>
      <c r="F37" s="59"/>
      <c r="G37" s="45"/>
      <c r="H37" s="60"/>
      <c r="I37" s="59"/>
      <c r="J37" s="47"/>
      <c r="K37" s="61" t="str">
        <f>IF(F37&lt;&gt;"",F37*'🏠 INICIO'!$C$11,"")</f>
        <v/>
      </c>
    </row>
    <row r="38" spans="1:11" ht="15" customHeight="1" x14ac:dyDescent="0.2">
      <c r="A38" s="58"/>
      <c r="B38" s="55">
        <v>34</v>
      </c>
      <c r="C38" s="57"/>
      <c r="D38" s="57"/>
      <c r="E38" s="56"/>
      <c r="F38" s="59"/>
      <c r="G38" s="55"/>
      <c r="H38" s="62"/>
      <c r="I38" s="59"/>
      <c r="J38" s="57"/>
      <c r="K38" s="61" t="str">
        <f>IF(F38&lt;&gt;"",F38*'🏠 INICIO'!$C$11,"")</f>
        <v/>
      </c>
    </row>
    <row r="39" spans="1:11" ht="15" customHeight="1" x14ac:dyDescent="0.2">
      <c r="A39" s="58"/>
      <c r="B39" s="45">
        <v>35</v>
      </c>
      <c r="C39" s="47"/>
      <c r="D39" s="47"/>
      <c r="E39" s="46"/>
      <c r="F39" s="59"/>
      <c r="G39" s="45"/>
      <c r="H39" s="60"/>
      <c r="I39" s="59"/>
      <c r="J39" s="47"/>
      <c r="K39" s="61" t="str">
        <f>IF(F39&lt;&gt;"",F39*'🏠 INICIO'!$C$11,"")</f>
        <v/>
      </c>
    </row>
    <row r="40" spans="1:11" ht="15" customHeight="1" x14ac:dyDescent="0.2">
      <c r="A40" s="58"/>
      <c r="B40" s="55">
        <v>36</v>
      </c>
      <c r="C40" s="57"/>
      <c r="D40" s="57"/>
      <c r="E40" s="56"/>
      <c r="F40" s="59"/>
      <c r="G40" s="55"/>
      <c r="H40" s="62"/>
      <c r="I40" s="59"/>
      <c r="J40" s="57"/>
      <c r="K40" s="61" t="str">
        <f>IF(F40&lt;&gt;"",F40*'🏠 INICIO'!$C$11,"")</f>
        <v/>
      </c>
    </row>
    <row r="41" spans="1:11" ht="15" customHeight="1" x14ac:dyDescent="0.2">
      <c r="A41" s="58"/>
      <c r="B41" s="45">
        <v>37</v>
      </c>
      <c r="C41" s="47"/>
      <c r="D41" s="47"/>
      <c r="E41" s="46"/>
      <c r="F41" s="59"/>
      <c r="G41" s="45"/>
      <c r="H41" s="60"/>
      <c r="I41" s="59"/>
      <c r="J41" s="47"/>
      <c r="K41" s="61" t="str">
        <f>IF(F41&lt;&gt;"",F41*'🏠 INICIO'!$C$11,"")</f>
        <v/>
      </c>
    </row>
    <row r="42" spans="1:11" ht="15" customHeight="1" x14ac:dyDescent="0.2">
      <c r="A42" s="58"/>
      <c r="B42" s="55">
        <v>38</v>
      </c>
      <c r="C42" s="57"/>
      <c r="D42" s="57"/>
      <c r="E42" s="56"/>
      <c r="F42" s="59"/>
      <c r="G42" s="55"/>
      <c r="H42" s="62"/>
      <c r="I42" s="59"/>
      <c r="J42" s="57"/>
      <c r="K42" s="61" t="str">
        <f>IF(F42&lt;&gt;"",F42*'🏠 INICIO'!$C$11,"")</f>
        <v/>
      </c>
    </row>
    <row r="43" spans="1:11" ht="15" customHeight="1" x14ac:dyDescent="0.2">
      <c r="A43" s="58"/>
      <c r="B43" s="45">
        <v>39</v>
      </c>
      <c r="C43" s="47"/>
      <c r="D43" s="47"/>
      <c r="E43" s="46"/>
      <c r="F43" s="59"/>
      <c r="G43" s="45"/>
      <c r="H43" s="60"/>
      <c r="I43" s="59"/>
      <c r="J43" s="47"/>
      <c r="K43" s="61" t="str">
        <f>IF(F43&lt;&gt;"",F43*'🏠 INICIO'!$C$11,"")</f>
        <v/>
      </c>
    </row>
    <row r="44" spans="1:11" ht="15" customHeight="1" x14ac:dyDescent="0.2">
      <c r="A44" s="58"/>
      <c r="B44" s="55">
        <v>40</v>
      </c>
      <c r="C44" s="57"/>
      <c r="D44" s="57"/>
      <c r="E44" s="56"/>
      <c r="F44" s="59"/>
      <c r="G44" s="55"/>
      <c r="H44" s="62"/>
      <c r="I44" s="59"/>
      <c r="J44" s="57"/>
      <c r="K44" s="61" t="str">
        <f>IF(F44&lt;&gt;"",F44*'🏠 INICIO'!$C$11,"")</f>
        <v/>
      </c>
    </row>
    <row r="45" spans="1:11" ht="15" customHeight="1" x14ac:dyDescent="0.2">
      <c r="A45" s="58"/>
      <c r="B45" s="45">
        <v>41</v>
      </c>
      <c r="C45" s="47"/>
      <c r="D45" s="47"/>
      <c r="E45" s="46"/>
      <c r="F45" s="59"/>
      <c r="G45" s="45"/>
      <c r="H45" s="60"/>
      <c r="I45" s="59"/>
      <c r="J45" s="47"/>
      <c r="K45" s="61" t="str">
        <f>IF(F45&lt;&gt;"",F45*'🏠 INICIO'!$C$11,"")</f>
        <v/>
      </c>
    </row>
    <row r="46" spans="1:11" ht="15" customHeight="1" x14ac:dyDescent="0.2">
      <c r="A46" s="58"/>
      <c r="B46" s="55">
        <v>42</v>
      </c>
      <c r="C46" s="57"/>
      <c r="D46" s="57"/>
      <c r="E46" s="56"/>
      <c r="F46" s="59"/>
      <c r="G46" s="55"/>
      <c r="H46" s="62"/>
      <c r="I46" s="59"/>
      <c r="J46" s="57"/>
      <c r="K46" s="61" t="str">
        <f>IF(F46&lt;&gt;"",F46*'🏠 INICIO'!$C$11,"")</f>
        <v/>
      </c>
    </row>
    <row r="47" spans="1:11" ht="15" customHeight="1" x14ac:dyDescent="0.2">
      <c r="A47" s="58"/>
      <c r="B47" s="45">
        <v>43</v>
      </c>
      <c r="C47" s="47"/>
      <c r="D47" s="47"/>
      <c r="E47" s="46"/>
      <c r="F47" s="59"/>
      <c r="G47" s="45"/>
      <c r="H47" s="60"/>
      <c r="I47" s="59"/>
      <c r="J47" s="47"/>
      <c r="K47" s="61" t="str">
        <f>IF(F47&lt;&gt;"",F47*'🏠 INICIO'!$C$11,"")</f>
        <v/>
      </c>
    </row>
    <row r="48" spans="1:11" ht="15" customHeight="1" x14ac:dyDescent="0.2">
      <c r="A48" s="58"/>
      <c r="B48" s="55">
        <v>44</v>
      </c>
      <c r="C48" s="57"/>
      <c r="D48" s="57"/>
      <c r="E48" s="56"/>
      <c r="F48" s="59"/>
      <c r="G48" s="55"/>
      <c r="H48" s="62"/>
      <c r="I48" s="59"/>
      <c r="J48" s="57"/>
      <c r="K48" s="61" t="str">
        <f>IF(F48&lt;&gt;"",F48*'🏠 INICIO'!$C$11,"")</f>
        <v/>
      </c>
    </row>
    <row r="49" spans="1:11" ht="15" customHeight="1" x14ac:dyDescent="0.2">
      <c r="A49" s="58"/>
      <c r="B49" s="45">
        <v>45</v>
      </c>
      <c r="C49" s="47"/>
      <c r="D49" s="47"/>
      <c r="E49" s="46"/>
      <c r="F49" s="59"/>
      <c r="G49" s="45"/>
      <c r="H49" s="60"/>
      <c r="I49" s="59"/>
      <c r="J49" s="47"/>
      <c r="K49" s="61" t="str">
        <f>IF(F49&lt;&gt;"",F49*'🏠 INICIO'!$C$11,"")</f>
        <v/>
      </c>
    </row>
    <row r="50" spans="1:11" ht="15" customHeight="1" x14ac:dyDescent="0.2">
      <c r="A50" s="58"/>
      <c r="B50" s="55">
        <v>46</v>
      </c>
      <c r="C50" s="57"/>
      <c r="D50" s="57"/>
      <c r="E50" s="56"/>
      <c r="F50" s="59"/>
      <c r="G50" s="55"/>
      <c r="H50" s="62"/>
      <c r="I50" s="59"/>
      <c r="J50" s="57"/>
      <c r="K50" s="61" t="str">
        <f>IF(F50&lt;&gt;"",F50*'🏠 INICIO'!$C$11,"")</f>
        <v/>
      </c>
    </row>
    <row r="51" spans="1:11" ht="15" customHeight="1" x14ac:dyDescent="0.2">
      <c r="A51" s="58"/>
      <c r="B51" s="45">
        <v>47</v>
      </c>
      <c r="C51" s="47"/>
      <c r="D51" s="47"/>
      <c r="E51" s="46"/>
      <c r="F51" s="59"/>
      <c r="G51" s="45"/>
      <c r="H51" s="60"/>
      <c r="I51" s="59"/>
      <c r="J51" s="47"/>
      <c r="K51" s="61" t="str">
        <f>IF(F51&lt;&gt;"",F51*'🏠 INICIO'!$C$11,"")</f>
        <v/>
      </c>
    </row>
    <row r="52" spans="1:11" ht="15" customHeight="1" x14ac:dyDescent="0.2">
      <c r="A52" s="58"/>
      <c r="B52" s="55">
        <v>48</v>
      </c>
      <c r="C52" s="57"/>
      <c r="D52" s="57"/>
      <c r="E52" s="56"/>
      <c r="F52" s="59"/>
      <c r="G52" s="55"/>
      <c r="H52" s="62"/>
      <c r="I52" s="59"/>
      <c r="J52" s="57"/>
      <c r="K52" s="61" t="str">
        <f>IF(F52&lt;&gt;"",F52*'🏠 INICIO'!$C$11,"")</f>
        <v/>
      </c>
    </row>
    <row r="53" spans="1:11" ht="15" customHeight="1" x14ac:dyDescent="0.2">
      <c r="A53" s="58"/>
      <c r="B53" s="45">
        <v>49</v>
      </c>
      <c r="C53" s="47"/>
      <c r="D53" s="47"/>
      <c r="E53" s="46"/>
      <c r="F53" s="59"/>
      <c r="G53" s="45"/>
      <c r="H53" s="60"/>
      <c r="I53" s="59"/>
      <c r="J53" s="47"/>
      <c r="K53" s="61" t="str">
        <f>IF(F53&lt;&gt;"",F53*'🏠 INICIO'!$C$11,"")</f>
        <v/>
      </c>
    </row>
    <row r="54" spans="1:11" ht="15" customHeight="1" x14ac:dyDescent="0.2">
      <c r="A54" s="58"/>
      <c r="B54" s="55">
        <v>50</v>
      </c>
      <c r="C54" s="57"/>
      <c r="D54" s="57"/>
      <c r="E54" s="56"/>
      <c r="F54" s="59"/>
      <c r="G54" s="55"/>
      <c r="H54" s="62"/>
      <c r="I54" s="59"/>
      <c r="J54" s="57"/>
      <c r="K54" s="61" t="str">
        <f>IF(F54&lt;&gt;"",F54*'🏠 INICIO'!$C$11,"")</f>
        <v/>
      </c>
    </row>
    <row r="56" spans="1:11" ht="24" customHeight="1" x14ac:dyDescent="0.2">
      <c r="A56" s="82" t="s">
        <v>126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</row>
    <row r="57" spans="1:11" ht="23.25" customHeight="1" x14ac:dyDescent="0.2">
      <c r="A57" s="105" t="s">
        <v>114</v>
      </c>
      <c r="B57" s="105"/>
      <c r="C57" s="105" t="s">
        <v>115</v>
      </c>
      <c r="D57" s="105"/>
      <c r="E57" s="106" t="s">
        <v>116</v>
      </c>
      <c r="F57" s="106"/>
      <c r="G57" s="107" t="s">
        <v>117</v>
      </c>
      <c r="H57" s="107"/>
      <c r="I57" s="108" t="s">
        <v>118</v>
      </c>
      <c r="J57" s="108"/>
    </row>
    <row r="58" spans="1:11" ht="25.5" customHeight="1" x14ac:dyDescent="0.2">
      <c r="A58" s="98">
        <f>SUM(F5:F54)</f>
        <v>0</v>
      </c>
      <c r="B58" s="98"/>
      <c r="C58" s="99">
        <f>COUNTIF(H5:H54,"PAGADO")</f>
        <v>0</v>
      </c>
      <c r="D58" s="99"/>
      <c r="E58" s="100">
        <f>COUNTIF(H5:H54,"FALTA CANCELAR")</f>
        <v>0</v>
      </c>
      <c r="F58" s="100"/>
      <c r="G58" s="101">
        <f>SUM(I5:I54)</f>
        <v>0</v>
      </c>
      <c r="H58" s="101"/>
      <c r="I58" s="102">
        <f>SUM(K5:K54)</f>
        <v>0</v>
      </c>
      <c r="J58" s="102"/>
    </row>
  </sheetData>
  <mergeCells count="14">
    <mergeCell ref="A1:K1"/>
    <mergeCell ref="A2:K2"/>
    <mergeCell ref="A3:K3"/>
    <mergeCell ref="A56:K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</mergeCells>
  <conditionalFormatting sqref="H5:H54">
    <cfRule type="expression" dxfId="23" priority="2">
      <formula>$H5="PAGADO"</formula>
    </cfRule>
    <cfRule type="expression" dxfId="22" priority="3">
      <formula>$H5="FALTA CANCELAR"</formula>
    </cfRule>
    <cfRule type="expression" dxfId="21" priority="4">
      <formula>$H5="ADELANTO"</formula>
    </cfRule>
  </conditionalFormatting>
  <dataValidations count="4">
    <dataValidation type="list" allowBlank="1" sqref="A5:A54" xr:uid="{00000000-0002-0000-0700-000000000000}">
      <formula1>"1,2,3,4,5,6,7,8,9,10,11,12,13,14,15,16,17,18,19,20"</formula1>
      <formula2>0</formula2>
    </dataValidation>
    <dataValidation type="list" allowBlank="1" sqref="E5:E54" xr:uid="{00000000-0002-0000-0700-000001000000}">
      <formula1>"YANBAL,ESIKA,CYZONE,LBEL,NATURA,AVON,FARMASI,ORIFLAME,OTRO"</formula1>
      <formula2>0</formula2>
    </dataValidation>
    <dataValidation type="list" allowBlank="1" sqref="G5:G54" xr:uid="{00000000-0002-0000-0700-000002000000}">
      <formula1>"YAPE,PLIN,EFECTIVO,TRANSFERENCIA,MIXTO"</formula1>
      <formula2>0</formula2>
    </dataValidation>
    <dataValidation type="list" allowBlank="1" sqref="H5:H54" xr:uid="{00000000-0002-0000-07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39DDB"/>
    <pageSetUpPr fitToPage="1"/>
  </sheetPr>
  <dimension ref="A1:K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  <col min="11" max="11" width="13" customWidth="1"/>
  </cols>
  <sheetData>
    <row r="1" spans="1:11" ht="27.75" customHeight="1" x14ac:dyDescent="0.2">
      <c r="A1" s="95" t="s">
        <v>127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15" customHeight="1" x14ac:dyDescent="0.2">
      <c r="A2" s="103" t="s">
        <v>99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ht="15" customHeight="1" x14ac:dyDescent="0.2">
      <c r="A3" s="104" t="s">
        <v>100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1" ht="33.75" customHeight="1" x14ac:dyDescent="0.2">
      <c r="A4" s="18" t="s">
        <v>101</v>
      </c>
      <c r="B4" s="15" t="s">
        <v>39</v>
      </c>
      <c r="C4" s="15" t="s">
        <v>102</v>
      </c>
      <c r="D4" s="15" t="s">
        <v>41</v>
      </c>
      <c r="E4" s="15" t="s">
        <v>40</v>
      </c>
      <c r="F4" s="18" t="s">
        <v>103</v>
      </c>
      <c r="G4" s="15" t="s">
        <v>104</v>
      </c>
      <c r="H4" s="15" t="s">
        <v>105</v>
      </c>
      <c r="I4" s="15" t="s">
        <v>106</v>
      </c>
      <c r="J4" s="15" t="s">
        <v>107</v>
      </c>
      <c r="K4" s="15" t="s">
        <v>108</v>
      </c>
    </row>
    <row r="5" spans="1:11" ht="15" customHeight="1" x14ac:dyDescent="0.2">
      <c r="A5" s="58"/>
      <c r="B5" s="45">
        <v>1</v>
      </c>
      <c r="C5" s="47"/>
      <c r="D5" s="47"/>
      <c r="E5" s="46"/>
      <c r="F5" s="59"/>
      <c r="G5" s="45"/>
      <c r="H5" s="60"/>
      <c r="I5" s="59"/>
      <c r="J5" s="47"/>
      <c r="K5" s="61" t="str">
        <f>IF(F5&lt;&gt;"",F5*'🏠 INICIO'!$C$11,"")</f>
        <v/>
      </c>
    </row>
    <row r="6" spans="1:11" ht="15" customHeight="1" x14ac:dyDescent="0.2">
      <c r="A6" s="58"/>
      <c r="B6" s="55">
        <v>2</v>
      </c>
      <c r="C6" s="57"/>
      <c r="D6" s="57"/>
      <c r="E6" s="56"/>
      <c r="F6" s="59"/>
      <c r="G6" s="55"/>
      <c r="H6" s="62"/>
      <c r="I6" s="59"/>
      <c r="J6" s="57"/>
      <c r="K6" s="61" t="str">
        <f>IF(F6&lt;&gt;"",F6*'🏠 INICIO'!$C$11,"")</f>
        <v/>
      </c>
    </row>
    <row r="7" spans="1:11" ht="15" customHeight="1" x14ac:dyDescent="0.2">
      <c r="A7" s="58"/>
      <c r="B7" s="45">
        <v>3</v>
      </c>
      <c r="C7" s="47"/>
      <c r="D7" s="47"/>
      <c r="E7" s="46"/>
      <c r="F7" s="59"/>
      <c r="G7" s="45"/>
      <c r="H7" s="60"/>
      <c r="I7" s="59"/>
      <c r="J7" s="47"/>
      <c r="K7" s="61" t="str">
        <f>IF(F7&lt;&gt;"",F7*'🏠 INICIO'!$C$11,"")</f>
        <v/>
      </c>
    </row>
    <row r="8" spans="1:11" ht="15" customHeight="1" x14ac:dyDescent="0.2">
      <c r="A8" s="58"/>
      <c r="B8" s="55">
        <v>4</v>
      </c>
      <c r="C8" s="57"/>
      <c r="D8" s="57"/>
      <c r="E8" s="56"/>
      <c r="F8" s="59"/>
      <c r="G8" s="55"/>
      <c r="H8" s="62"/>
      <c r="I8" s="59"/>
      <c r="J8" s="57"/>
      <c r="K8" s="61" t="str">
        <f>IF(F8&lt;&gt;"",F8*'🏠 INICIO'!$C$11,"")</f>
        <v/>
      </c>
    </row>
    <row r="9" spans="1:11" ht="15" customHeight="1" x14ac:dyDescent="0.2">
      <c r="A9" s="58"/>
      <c r="B9" s="45">
        <v>5</v>
      </c>
      <c r="C9" s="47"/>
      <c r="D9" s="47"/>
      <c r="E9" s="46"/>
      <c r="F9" s="59"/>
      <c r="G9" s="45"/>
      <c r="H9" s="60"/>
      <c r="I9" s="59"/>
      <c r="J9" s="47"/>
      <c r="K9" s="61" t="str">
        <f>IF(F9&lt;&gt;"",F9*'🏠 INICIO'!$C$11,"")</f>
        <v/>
      </c>
    </row>
    <row r="10" spans="1:11" ht="15" customHeight="1" x14ac:dyDescent="0.2">
      <c r="A10" s="58"/>
      <c r="B10" s="55">
        <v>6</v>
      </c>
      <c r="C10" s="57"/>
      <c r="D10" s="57"/>
      <c r="E10" s="56"/>
      <c r="F10" s="59"/>
      <c r="G10" s="55"/>
      <c r="H10" s="62"/>
      <c r="I10" s="59"/>
      <c r="J10" s="57"/>
      <c r="K10" s="61" t="str">
        <f>IF(F10&lt;&gt;"",F10*'🏠 INICIO'!$C$11,"")</f>
        <v/>
      </c>
    </row>
    <row r="11" spans="1:11" ht="15" customHeight="1" x14ac:dyDescent="0.2">
      <c r="A11" s="58"/>
      <c r="B11" s="45">
        <v>7</v>
      </c>
      <c r="C11" s="47"/>
      <c r="D11" s="47"/>
      <c r="E11" s="46"/>
      <c r="F11" s="59"/>
      <c r="G11" s="45"/>
      <c r="H11" s="60"/>
      <c r="I11" s="59"/>
      <c r="J11" s="47"/>
      <c r="K11" s="61" t="str">
        <f>IF(F11&lt;&gt;"",F11*'🏠 INICIO'!$C$11,"")</f>
        <v/>
      </c>
    </row>
    <row r="12" spans="1:11" ht="15" customHeight="1" x14ac:dyDescent="0.2">
      <c r="A12" s="58"/>
      <c r="B12" s="55">
        <v>8</v>
      </c>
      <c r="C12" s="57"/>
      <c r="D12" s="57"/>
      <c r="E12" s="56"/>
      <c r="F12" s="59"/>
      <c r="G12" s="55"/>
      <c r="H12" s="62"/>
      <c r="I12" s="59"/>
      <c r="J12" s="57"/>
      <c r="K12" s="61" t="str">
        <f>IF(F12&lt;&gt;"",F12*'🏠 INICIO'!$C$11,"")</f>
        <v/>
      </c>
    </row>
    <row r="13" spans="1:11" ht="15" customHeight="1" x14ac:dyDescent="0.2">
      <c r="A13" s="58"/>
      <c r="B13" s="45">
        <v>9</v>
      </c>
      <c r="C13" s="47"/>
      <c r="D13" s="47"/>
      <c r="E13" s="46"/>
      <c r="F13" s="59"/>
      <c r="G13" s="45"/>
      <c r="H13" s="60"/>
      <c r="I13" s="59"/>
      <c r="J13" s="47"/>
      <c r="K13" s="61" t="str">
        <f>IF(F13&lt;&gt;"",F13*'🏠 INICIO'!$C$11,"")</f>
        <v/>
      </c>
    </row>
    <row r="14" spans="1:11" ht="15" customHeight="1" x14ac:dyDescent="0.2">
      <c r="A14" s="58"/>
      <c r="B14" s="55">
        <v>10</v>
      </c>
      <c r="C14" s="57"/>
      <c r="D14" s="57"/>
      <c r="E14" s="56"/>
      <c r="F14" s="59"/>
      <c r="G14" s="55"/>
      <c r="H14" s="62"/>
      <c r="I14" s="59"/>
      <c r="J14" s="57"/>
      <c r="K14" s="61" t="str">
        <f>IF(F14&lt;&gt;"",F14*'🏠 INICIO'!$C$11,"")</f>
        <v/>
      </c>
    </row>
    <row r="15" spans="1:11" ht="15" customHeight="1" x14ac:dyDescent="0.2">
      <c r="A15" s="58"/>
      <c r="B15" s="45">
        <v>11</v>
      </c>
      <c r="C15" s="47"/>
      <c r="D15" s="47"/>
      <c r="E15" s="46"/>
      <c r="F15" s="59"/>
      <c r="G15" s="45"/>
      <c r="H15" s="60"/>
      <c r="I15" s="59"/>
      <c r="J15" s="47"/>
      <c r="K15" s="61" t="str">
        <f>IF(F15&lt;&gt;"",F15*'🏠 INICIO'!$C$11,"")</f>
        <v/>
      </c>
    </row>
    <row r="16" spans="1:11" ht="15" customHeight="1" x14ac:dyDescent="0.2">
      <c r="A16" s="58"/>
      <c r="B16" s="55">
        <v>12</v>
      </c>
      <c r="C16" s="57"/>
      <c r="D16" s="57"/>
      <c r="E16" s="56"/>
      <c r="F16" s="59"/>
      <c r="G16" s="55"/>
      <c r="H16" s="62"/>
      <c r="I16" s="59"/>
      <c r="J16" s="57"/>
      <c r="K16" s="61" t="str">
        <f>IF(F16&lt;&gt;"",F16*'🏠 INICIO'!$C$11,"")</f>
        <v/>
      </c>
    </row>
    <row r="17" spans="1:11" ht="15" customHeight="1" x14ac:dyDescent="0.2">
      <c r="A17" s="58"/>
      <c r="B17" s="45">
        <v>13</v>
      </c>
      <c r="C17" s="47"/>
      <c r="D17" s="47"/>
      <c r="E17" s="46"/>
      <c r="F17" s="59"/>
      <c r="G17" s="45"/>
      <c r="H17" s="60"/>
      <c r="I17" s="59"/>
      <c r="J17" s="47"/>
      <c r="K17" s="61" t="str">
        <f>IF(F17&lt;&gt;"",F17*'🏠 INICIO'!$C$11,"")</f>
        <v/>
      </c>
    </row>
    <row r="18" spans="1:11" ht="15" customHeight="1" x14ac:dyDescent="0.2">
      <c r="A18" s="58"/>
      <c r="B18" s="55">
        <v>14</v>
      </c>
      <c r="C18" s="57"/>
      <c r="D18" s="57"/>
      <c r="E18" s="56"/>
      <c r="F18" s="59"/>
      <c r="G18" s="55"/>
      <c r="H18" s="62"/>
      <c r="I18" s="59"/>
      <c r="J18" s="57"/>
      <c r="K18" s="61" t="str">
        <f>IF(F18&lt;&gt;"",F18*'🏠 INICIO'!$C$11,"")</f>
        <v/>
      </c>
    </row>
    <row r="19" spans="1:11" ht="15" customHeight="1" x14ac:dyDescent="0.2">
      <c r="A19" s="58"/>
      <c r="B19" s="45">
        <v>15</v>
      </c>
      <c r="C19" s="47"/>
      <c r="D19" s="47"/>
      <c r="E19" s="46"/>
      <c r="F19" s="59"/>
      <c r="G19" s="45"/>
      <c r="H19" s="60"/>
      <c r="I19" s="59"/>
      <c r="J19" s="47"/>
      <c r="K19" s="61" t="str">
        <f>IF(F19&lt;&gt;"",F19*'🏠 INICIO'!$C$11,"")</f>
        <v/>
      </c>
    </row>
    <row r="20" spans="1:11" ht="15" customHeight="1" x14ac:dyDescent="0.2">
      <c r="A20" s="58"/>
      <c r="B20" s="55">
        <v>16</v>
      </c>
      <c r="C20" s="57"/>
      <c r="D20" s="57"/>
      <c r="E20" s="56"/>
      <c r="F20" s="59"/>
      <c r="G20" s="55"/>
      <c r="H20" s="62"/>
      <c r="I20" s="59"/>
      <c r="J20" s="57"/>
      <c r="K20" s="61" t="str">
        <f>IF(F20&lt;&gt;"",F20*'🏠 INICIO'!$C$11,"")</f>
        <v/>
      </c>
    </row>
    <row r="21" spans="1:11" ht="15" customHeight="1" x14ac:dyDescent="0.2">
      <c r="A21" s="58"/>
      <c r="B21" s="45">
        <v>17</v>
      </c>
      <c r="C21" s="47"/>
      <c r="D21" s="47"/>
      <c r="E21" s="46"/>
      <c r="F21" s="59"/>
      <c r="G21" s="45"/>
      <c r="H21" s="60"/>
      <c r="I21" s="59"/>
      <c r="J21" s="47"/>
      <c r="K21" s="61" t="str">
        <f>IF(F21&lt;&gt;"",F21*'🏠 INICIO'!$C$11,"")</f>
        <v/>
      </c>
    </row>
    <row r="22" spans="1:11" ht="15" customHeight="1" x14ac:dyDescent="0.2">
      <c r="A22" s="58"/>
      <c r="B22" s="55">
        <v>18</v>
      </c>
      <c r="C22" s="57"/>
      <c r="D22" s="57"/>
      <c r="E22" s="56"/>
      <c r="F22" s="59"/>
      <c r="G22" s="55"/>
      <c r="H22" s="62"/>
      <c r="I22" s="59"/>
      <c r="J22" s="57"/>
      <c r="K22" s="61" t="str">
        <f>IF(F22&lt;&gt;"",F22*'🏠 INICIO'!$C$11,"")</f>
        <v/>
      </c>
    </row>
    <row r="23" spans="1:11" ht="15" customHeight="1" x14ac:dyDescent="0.2">
      <c r="A23" s="58"/>
      <c r="B23" s="45">
        <v>19</v>
      </c>
      <c r="C23" s="47"/>
      <c r="D23" s="47"/>
      <c r="E23" s="46"/>
      <c r="F23" s="59"/>
      <c r="G23" s="45"/>
      <c r="H23" s="60"/>
      <c r="I23" s="59"/>
      <c r="J23" s="47"/>
      <c r="K23" s="61" t="str">
        <f>IF(F23&lt;&gt;"",F23*'🏠 INICIO'!$C$11,"")</f>
        <v/>
      </c>
    </row>
    <row r="24" spans="1:11" ht="15" customHeight="1" x14ac:dyDescent="0.2">
      <c r="A24" s="58"/>
      <c r="B24" s="55">
        <v>20</v>
      </c>
      <c r="C24" s="57"/>
      <c r="D24" s="57"/>
      <c r="E24" s="56"/>
      <c r="F24" s="59"/>
      <c r="G24" s="55"/>
      <c r="H24" s="62"/>
      <c r="I24" s="59"/>
      <c r="J24" s="57"/>
      <c r="K24" s="61" t="str">
        <f>IF(F24&lt;&gt;"",F24*'🏠 INICIO'!$C$11,"")</f>
        <v/>
      </c>
    </row>
    <row r="25" spans="1:11" ht="15" customHeight="1" x14ac:dyDescent="0.2">
      <c r="A25" s="58"/>
      <c r="B25" s="45">
        <v>21</v>
      </c>
      <c r="C25" s="47"/>
      <c r="D25" s="47"/>
      <c r="E25" s="46"/>
      <c r="F25" s="59"/>
      <c r="G25" s="45"/>
      <c r="H25" s="60"/>
      <c r="I25" s="59"/>
      <c r="J25" s="47"/>
      <c r="K25" s="61" t="str">
        <f>IF(F25&lt;&gt;"",F25*'🏠 INICIO'!$C$11,"")</f>
        <v/>
      </c>
    </row>
    <row r="26" spans="1:11" ht="15" customHeight="1" x14ac:dyDescent="0.2">
      <c r="A26" s="58"/>
      <c r="B26" s="55">
        <v>22</v>
      </c>
      <c r="C26" s="57"/>
      <c r="D26" s="57"/>
      <c r="E26" s="56"/>
      <c r="F26" s="59"/>
      <c r="G26" s="55"/>
      <c r="H26" s="62"/>
      <c r="I26" s="59"/>
      <c r="J26" s="57"/>
      <c r="K26" s="61" t="str">
        <f>IF(F26&lt;&gt;"",F26*'🏠 INICIO'!$C$11,"")</f>
        <v/>
      </c>
    </row>
    <row r="27" spans="1:11" ht="15" customHeight="1" x14ac:dyDescent="0.2">
      <c r="A27" s="58"/>
      <c r="B27" s="45">
        <v>23</v>
      </c>
      <c r="C27" s="47"/>
      <c r="D27" s="47"/>
      <c r="E27" s="46"/>
      <c r="F27" s="59"/>
      <c r="G27" s="45"/>
      <c r="H27" s="60"/>
      <c r="I27" s="59"/>
      <c r="J27" s="47"/>
      <c r="K27" s="61" t="str">
        <f>IF(F27&lt;&gt;"",F27*'🏠 INICIO'!$C$11,"")</f>
        <v/>
      </c>
    </row>
    <row r="28" spans="1:11" ht="15" customHeight="1" x14ac:dyDescent="0.2">
      <c r="A28" s="58"/>
      <c r="B28" s="55">
        <v>24</v>
      </c>
      <c r="C28" s="57"/>
      <c r="D28" s="57"/>
      <c r="E28" s="56"/>
      <c r="F28" s="59"/>
      <c r="G28" s="55"/>
      <c r="H28" s="62"/>
      <c r="I28" s="59"/>
      <c r="J28" s="57"/>
      <c r="K28" s="61" t="str">
        <f>IF(F28&lt;&gt;"",F28*'🏠 INICIO'!$C$11,"")</f>
        <v/>
      </c>
    </row>
    <row r="29" spans="1:11" ht="15" customHeight="1" x14ac:dyDescent="0.2">
      <c r="A29" s="58"/>
      <c r="B29" s="45">
        <v>25</v>
      </c>
      <c r="C29" s="47"/>
      <c r="D29" s="47"/>
      <c r="E29" s="46"/>
      <c r="F29" s="59"/>
      <c r="G29" s="45"/>
      <c r="H29" s="60"/>
      <c r="I29" s="59"/>
      <c r="J29" s="47"/>
      <c r="K29" s="61" t="str">
        <f>IF(F29&lt;&gt;"",F29*'🏠 INICIO'!$C$11,"")</f>
        <v/>
      </c>
    </row>
    <row r="30" spans="1:11" ht="15" customHeight="1" x14ac:dyDescent="0.2">
      <c r="A30" s="58"/>
      <c r="B30" s="55">
        <v>26</v>
      </c>
      <c r="C30" s="57"/>
      <c r="D30" s="57"/>
      <c r="E30" s="56"/>
      <c r="F30" s="59"/>
      <c r="G30" s="55"/>
      <c r="H30" s="62"/>
      <c r="I30" s="59"/>
      <c r="J30" s="57"/>
      <c r="K30" s="61" t="str">
        <f>IF(F30&lt;&gt;"",F30*'🏠 INICIO'!$C$11,"")</f>
        <v/>
      </c>
    </row>
    <row r="31" spans="1:11" ht="15" customHeight="1" x14ac:dyDescent="0.2">
      <c r="A31" s="58"/>
      <c r="B31" s="45">
        <v>27</v>
      </c>
      <c r="C31" s="47"/>
      <c r="D31" s="47"/>
      <c r="E31" s="46"/>
      <c r="F31" s="59"/>
      <c r="G31" s="45"/>
      <c r="H31" s="60"/>
      <c r="I31" s="59"/>
      <c r="J31" s="47"/>
      <c r="K31" s="61" t="str">
        <f>IF(F31&lt;&gt;"",F31*'🏠 INICIO'!$C$11,"")</f>
        <v/>
      </c>
    </row>
    <row r="32" spans="1:11" ht="15" customHeight="1" x14ac:dyDescent="0.2">
      <c r="A32" s="58"/>
      <c r="B32" s="55">
        <v>28</v>
      </c>
      <c r="C32" s="57"/>
      <c r="D32" s="57"/>
      <c r="E32" s="56"/>
      <c r="F32" s="59"/>
      <c r="G32" s="55"/>
      <c r="H32" s="62"/>
      <c r="I32" s="59"/>
      <c r="J32" s="57"/>
      <c r="K32" s="61" t="str">
        <f>IF(F32&lt;&gt;"",F32*'🏠 INICIO'!$C$11,"")</f>
        <v/>
      </c>
    </row>
    <row r="33" spans="1:11" ht="15" customHeight="1" x14ac:dyDescent="0.2">
      <c r="A33" s="58"/>
      <c r="B33" s="45">
        <v>29</v>
      </c>
      <c r="C33" s="47"/>
      <c r="D33" s="47"/>
      <c r="E33" s="46"/>
      <c r="F33" s="59"/>
      <c r="G33" s="45"/>
      <c r="H33" s="60"/>
      <c r="I33" s="59"/>
      <c r="J33" s="47"/>
      <c r="K33" s="61" t="str">
        <f>IF(F33&lt;&gt;"",F33*'🏠 INICIO'!$C$11,"")</f>
        <v/>
      </c>
    </row>
    <row r="34" spans="1:11" ht="15" customHeight="1" x14ac:dyDescent="0.2">
      <c r="A34" s="58"/>
      <c r="B34" s="55">
        <v>30</v>
      </c>
      <c r="C34" s="57"/>
      <c r="D34" s="57"/>
      <c r="E34" s="56"/>
      <c r="F34" s="59"/>
      <c r="G34" s="55"/>
      <c r="H34" s="62"/>
      <c r="I34" s="59"/>
      <c r="J34" s="57"/>
      <c r="K34" s="61" t="str">
        <f>IF(F34&lt;&gt;"",F34*'🏠 INICIO'!$C$11,"")</f>
        <v/>
      </c>
    </row>
    <row r="35" spans="1:11" ht="15" customHeight="1" x14ac:dyDescent="0.2">
      <c r="A35" s="58"/>
      <c r="B35" s="45">
        <v>31</v>
      </c>
      <c r="C35" s="47"/>
      <c r="D35" s="47"/>
      <c r="E35" s="46"/>
      <c r="F35" s="59"/>
      <c r="G35" s="45"/>
      <c r="H35" s="60"/>
      <c r="I35" s="59"/>
      <c r="J35" s="47"/>
      <c r="K35" s="61" t="str">
        <f>IF(F35&lt;&gt;"",F35*'🏠 INICIO'!$C$11,"")</f>
        <v/>
      </c>
    </row>
    <row r="36" spans="1:11" ht="15" customHeight="1" x14ac:dyDescent="0.2">
      <c r="A36" s="58"/>
      <c r="B36" s="55">
        <v>32</v>
      </c>
      <c r="C36" s="57"/>
      <c r="D36" s="57"/>
      <c r="E36" s="56"/>
      <c r="F36" s="59"/>
      <c r="G36" s="55"/>
      <c r="H36" s="62"/>
      <c r="I36" s="59"/>
      <c r="J36" s="57"/>
      <c r="K36" s="61" t="str">
        <f>IF(F36&lt;&gt;"",F36*'🏠 INICIO'!$C$11,"")</f>
        <v/>
      </c>
    </row>
    <row r="37" spans="1:11" ht="15" customHeight="1" x14ac:dyDescent="0.2">
      <c r="A37" s="58"/>
      <c r="B37" s="45">
        <v>33</v>
      </c>
      <c r="C37" s="47"/>
      <c r="D37" s="47"/>
      <c r="E37" s="46"/>
      <c r="F37" s="59"/>
      <c r="G37" s="45"/>
      <c r="H37" s="60"/>
      <c r="I37" s="59"/>
      <c r="J37" s="47"/>
      <c r="K37" s="61" t="str">
        <f>IF(F37&lt;&gt;"",F37*'🏠 INICIO'!$C$11,"")</f>
        <v/>
      </c>
    </row>
    <row r="38" spans="1:11" ht="15" customHeight="1" x14ac:dyDescent="0.2">
      <c r="A38" s="58"/>
      <c r="B38" s="55">
        <v>34</v>
      </c>
      <c r="C38" s="57"/>
      <c r="D38" s="57"/>
      <c r="E38" s="56"/>
      <c r="F38" s="59"/>
      <c r="G38" s="55"/>
      <c r="H38" s="62"/>
      <c r="I38" s="59"/>
      <c r="J38" s="57"/>
      <c r="K38" s="61" t="str">
        <f>IF(F38&lt;&gt;"",F38*'🏠 INICIO'!$C$11,"")</f>
        <v/>
      </c>
    </row>
    <row r="39" spans="1:11" ht="15" customHeight="1" x14ac:dyDescent="0.2">
      <c r="A39" s="58"/>
      <c r="B39" s="45">
        <v>35</v>
      </c>
      <c r="C39" s="47"/>
      <c r="D39" s="47"/>
      <c r="E39" s="46"/>
      <c r="F39" s="59"/>
      <c r="G39" s="45"/>
      <c r="H39" s="60"/>
      <c r="I39" s="59"/>
      <c r="J39" s="47"/>
      <c r="K39" s="61" t="str">
        <f>IF(F39&lt;&gt;"",F39*'🏠 INICIO'!$C$11,"")</f>
        <v/>
      </c>
    </row>
    <row r="40" spans="1:11" ht="15" customHeight="1" x14ac:dyDescent="0.2">
      <c r="A40" s="58"/>
      <c r="B40" s="55">
        <v>36</v>
      </c>
      <c r="C40" s="57"/>
      <c r="D40" s="57"/>
      <c r="E40" s="56"/>
      <c r="F40" s="59"/>
      <c r="G40" s="55"/>
      <c r="H40" s="62"/>
      <c r="I40" s="59"/>
      <c r="J40" s="57"/>
      <c r="K40" s="61" t="str">
        <f>IF(F40&lt;&gt;"",F40*'🏠 INICIO'!$C$11,"")</f>
        <v/>
      </c>
    </row>
    <row r="41" spans="1:11" ht="15" customHeight="1" x14ac:dyDescent="0.2">
      <c r="A41" s="58"/>
      <c r="B41" s="45">
        <v>37</v>
      </c>
      <c r="C41" s="47"/>
      <c r="D41" s="47"/>
      <c r="E41" s="46"/>
      <c r="F41" s="59"/>
      <c r="G41" s="45"/>
      <c r="H41" s="60"/>
      <c r="I41" s="59"/>
      <c r="J41" s="47"/>
      <c r="K41" s="61" t="str">
        <f>IF(F41&lt;&gt;"",F41*'🏠 INICIO'!$C$11,"")</f>
        <v/>
      </c>
    </row>
    <row r="42" spans="1:11" ht="15" customHeight="1" x14ac:dyDescent="0.2">
      <c r="A42" s="58"/>
      <c r="B42" s="55">
        <v>38</v>
      </c>
      <c r="C42" s="57"/>
      <c r="D42" s="57"/>
      <c r="E42" s="56"/>
      <c r="F42" s="59"/>
      <c r="G42" s="55"/>
      <c r="H42" s="62"/>
      <c r="I42" s="59"/>
      <c r="J42" s="57"/>
      <c r="K42" s="61" t="str">
        <f>IF(F42&lt;&gt;"",F42*'🏠 INICIO'!$C$11,"")</f>
        <v/>
      </c>
    </row>
    <row r="43" spans="1:11" ht="15" customHeight="1" x14ac:dyDescent="0.2">
      <c r="A43" s="58"/>
      <c r="B43" s="45">
        <v>39</v>
      </c>
      <c r="C43" s="47"/>
      <c r="D43" s="47"/>
      <c r="E43" s="46"/>
      <c r="F43" s="59"/>
      <c r="G43" s="45"/>
      <c r="H43" s="60"/>
      <c r="I43" s="59"/>
      <c r="J43" s="47"/>
      <c r="K43" s="61" t="str">
        <f>IF(F43&lt;&gt;"",F43*'🏠 INICIO'!$C$11,"")</f>
        <v/>
      </c>
    </row>
    <row r="44" spans="1:11" ht="15" customHeight="1" x14ac:dyDescent="0.2">
      <c r="A44" s="58"/>
      <c r="B44" s="55">
        <v>40</v>
      </c>
      <c r="C44" s="57"/>
      <c r="D44" s="57"/>
      <c r="E44" s="56"/>
      <c r="F44" s="59"/>
      <c r="G44" s="55"/>
      <c r="H44" s="62"/>
      <c r="I44" s="59"/>
      <c r="J44" s="57"/>
      <c r="K44" s="61" t="str">
        <f>IF(F44&lt;&gt;"",F44*'🏠 INICIO'!$C$11,"")</f>
        <v/>
      </c>
    </row>
    <row r="45" spans="1:11" ht="15" customHeight="1" x14ac:dyDescent="0.2">
      <c r="A45" s="58"/>
      <c r="B45" s="45">
        <v>41</v>
      </c>
      <c r="C45" s="47"/>
      <c r="D45" s="47"/>
      <c r="E45" s="46"/>
      <c r="F45" s="59"/>
      <c r="G45" s="45"/>
      <c r="H45" s="60"/>
      <c r="I45" s="59"/>
      <c r="J45" s="47"/>
      <c r="K45" s="61" t="str">
        <f>IF(F45&lt;&gt;"",F45*'🏠 INICIO'!$C$11,"")</f>
        <v/>
      </c>
    </row>
    <row r="46" spans="1:11" ht="15" customHeight="1" x14ac:dyDescent="0.2">
      <c r="A46" s="58"/>
      <c r="B46" s="55">
        <v>42</v>
      </c>
      <c r="C46" s="57"/>
      <c r="D46" s="57"/>
      <c r="E46" s="56"/>
      <c r="F46" s="59"/>
      <c r="G46" s="55"/>
      <c r="H46" s="62"/>
      <c r="I46" s="59"/>
      <c r="J46" s="57"/>
      <c r="K46" s="61" t="str">
        <f>IF(F46&lt;&gt;"",F46*'🏠 INICIO'!$C$11,"")</f>
        <v/>
      </c>
    </row>
    <row r="47" spans="1:11" ht="15" customHeight="1" x14ac:dyDescent="0.2">
      <c r="A47" s="58"/>
      <c r="B47" s="45">
        <v>43</v>
      </c>
      <c r="C47" s="47"/>
      <c r="D47" s="47"/>
      <c r="E47" s="46"/>
      <c r="F47" s="59"/>
      <c r="G47" s="45"/>
      <c r="H47" s="60"/>
      <c r="I47" s="59"/>
      <c r="J47" s="47"/>
      <c r="K47" s="61" t="str">
        <f>IF(F47&lt;&gt;"",F47*'🏠 INICIO'!$C$11,"")</f>
        <v/>
      </c>
    </row>
    <row r="48" spans="1:11" ht="15" customHeight="1" x14ac:dyDescent="0.2">
      <c r="A48" s="58"/>
      <c r="B48" s="55">
        <v>44</v>
      </c>
      <c r="C48" s="57"/>
      <c r="D48" s="57"/>
      <c r="E48" s="56"/>
      <c r="F48" s="59"/>
      <c r="G48" s="55"/>
      <c r="H48" s="62"/>
      <c r="I48" s="59"/>
      <c r="J48" s="57"/>
      <c r="K48" s="61" t="str">
        <f>IF(F48&lt;&gt;"",F48*'🏠 INICIO'!$C$11,"")</f>
        <v/>
      </c>
    </row>
    <row r="49" spans="1:11" ht="15" customHeight="1" x14ac:dyDescent="0.2">
      <c r="A49" s="58"/>
      <c r="B49" s="45">
        <v>45</v>
      </c>
      <c r="C49" s="47"/>
      <c r="D49" s="47"/>
      <c r="E49" s="46"/>
      <c r="F49" s="59"/>
      <c r="G49" s="45"/>
      <c r="H49" s="60"/>
      <c r="I49" s="59"/>
      <c r="J49" s="47"/>
      <c r="K49" s="61" t="str">
        <f>IF(F49&lt;&gt;"",F49*'🏠 INICIO'!$C$11,"")</f>
        <v/>
      </c>
    </row>
    <row r="50" spans="1:11" ht="15" customHeight="1" x14ac:dyDescent="0.2">
      <c r="A50" s="58"/>
      <c r="B50" s="55">
        <v>46</v>
      </c>
      <c r="C50" s="57"/>
      <c r="D50" s="57"/>
      <c r="E50" s="56"/>
      <c r="F50" s="59"/>
      <c r="G50" s="55"/>
      <c r="H50" s="62"/>
      <c r="I50" s="59"/>
      <c r="J50" s="57"/>
      <c r="K50" s="61" t="str">
        <f>IF(F50&lt;&gt;"",F50*'🏠 INICIO'!$C$11,"")</f>
        <v/>
      </c>
    </row>
    <row r="51" spans="1:11" ht="15" customHeight="1" x14ac:dyDescent="0.2">
      <c r="A51" s="58"/>
      <c r="B51" s="45">
        <v>47</v>
      </c>
      <c r="C51" s="47"/>
      <c r="D51" s="47"/>
      <c r="E51" s="46"/>
      <c r="F51" s="59"/>
      <c r="G51" s="45"/>
      <c r="H51" s="60"/>
      <c r="I51" s="59"/>
      <c r="J51" s="47"/>
      <c r="K51" s="61" t="str">
        <f>IF(F51&lt;&gt;"",F51*'🏠 INICIO'!$C$11,"")</f>
        <v/>
      </c>
    </row>
    <row r="52" spans="1:11" ht="15" customHeight="1" x14ac:dyDescent="0.2">
      <c r="A52" s="58"/>
      <c r="B52" s="55">
        <v>48</v>
      </c>
      <c r="C52" s="57"/>
      <c r="D52" s="57"/>
      <c r="E52" s="56"/>
      <c r="F52" s="59"/>
      <c r="G52" s="55"/>
      <c r="H52" s="62"/>
      <c r="I52" s="59"/>
      <c r="J52" s="57"/>
      <c r="K52" s="61" t="str">
        <f>IF(F52&lt;&gt;"",F52*'🏠 INICIO'!$C$11,"")</f>
        <v/>
      </c>
    </row>
    <row r="53" spans="1:11" ht="15" customHeight="1" x14ac:dyDescent="0.2">
      <c r="A53" s="58"/>
      <c r="B53" s="45">
        <v>49</v>
      </c>
      <c r="C53" s="47"/>
      <c r="D53" s="47"/>
      <c r="E53" s="46"/>
      <c r="F53" s="59"/>
      <c r="G53" s="45"/>
      <c r="H53" s="60"/>
      <c r="I53" s="59"/>
      <c r="J53" s="47"/>
      <c r="K53" s="61" t="str">
        <f>IF(F53&lt;&gt;"",F53*'🏠 INICIO'!$C$11,"")</f>
        <v/>
      </c>
    </row>
    <row r="54" spans="1:11" ht="15" customHeight="1" x14ac:dyDescent="0.2">
      <c r="A54" s="58"/>
      <c r="B54" s="55">
        <v>50</v>
      </c>
      <c r="C54" s="57"/>
      <c r="D54" s="57"/>
      <c r="E54" s="56"/>
      <c r="F54" s="59"/>
      <c r="G54" s="55"/>
      <c r="H54" s="62"/>
      <c r="I54" s="59"/>
      <c r="J54" s="57"/>
      <c r="K54" s="61" t="str">
        <f>IF(F54&lt;&gt;"",F54*'🏠 INICIO'!$C$11,"")</f>
        <v/>
      </c>
    </row>
    <row r="56" spans="1:11" ht="24" customHeight="1" x14ac:dyDescent="0.2">
      <c r="A56" s="82" t="s">
        <v>128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</row>
    <row r="57" spans="1:11" ht="23.25" customHeight="1" x14ac:dyDescent="0.2">
      <c r="A57" s="105" t="s">
        <v>114</v>
      </c>
      <c r="B57" s="105"/>
      <c r="C57" s="105" t="s">
        <v>115</v>
      </c>
      <c r="D57" s="105"/>
      <c r="E57" s="106" t="s">
        <v>116</v>
      </c>
      <c r="F57" s="106"/>
      <c r="G57" s="107" t="s">
        <v>117</v>
      </c>
      <c r="H57" s="107"/>
      <c r="I57" s="108" t="s">
        <v>118</v>
      </c>
      <c r="J57" s="108"/>
    </row>
    <row r="58" spans="1:11" ht="25.5" customHeight="1" x14ac:dyDescent="0.2">
      <c r="A58" s="98">
        <f>SUM(F5:F54)</f>
        <v>0</v>
      </c>
      <c r="B58" s="98"/>
      <c r="C58" s="99">
        <f>COUNTIF(H5:H54,"PAGADO")</f>
        <v>0</v>
      </c>
      <c r="D58" s="99"/>
      <c r="E58" s="100">
        <f>COUNTIF(H5:H54,"FALTA CANCELAR")</f>
        <v>0</v>
      </c>
      <c r="F58" s="100"/>
      <c r="G58" s="101">
        <f>SUM(I5:I54)</f>
        <v>0</v>
      </c>
      <c r="H58" s="101"/>
      <c r="I58" s="102">
        <f>SUM(K5:K54)</f>
        <v>0</v>
      </c>
      <c r="J58" s="102"/>
    </row>
  </sheetData>
  <mergeCells count="14">
    <mergeCell ref="A1:K1"/>
    <mergeCell ref="A2:K2"/>
    <mergeCell ref="A3:K3"/>
    <mergeCell ref="A56:K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</mergeCells>
  <conditionalFormatting sqref="H5:H54">
    <cfRule type="expression" dxfId="20" priority="2">
      <formula>$H5="PAGADO"</formula>
    </cfRule>
    <cfRule type="expression" dxfId="19" priority="3">
      <formula>$H5="FALTA CANCELAR"</formula>
    </cfRule>
    <cfRule type="expression" dxfId="18" priority="4">
      <formula>$H5="ADELANTO"</formula>
    </cfRule>
  </conditionalFormatting>
  <dataValidations count="4">
    <dataValidation type="list" allowBlank="1" sqref="A5:A54" xr:uid="{00000000-0002-0000-0800-000000000000}">
      <formula1>"1,2,3,4,5,6,7,8,9,10,11,12,13,14,15,16,17,18,19,20"</formula1>
      <formula2>0</formula2>
    </dataValidation>
    <dataValidation type="list" allowBlank="1" sqref="E5:E54" xr:uid="{00000000-0002-0000-0800-000001000000}">
      <formula1>"YANBAL,ESIKA,CYZONE,LBEL,NATURA,AVON,FARMASI,ORIFLAME,OTRO"</formula1>
      <formula2>0</formula2>
    </dataValidation>
    <dataValidation type="list" allowBlank="1" sqref="G5:G54" xr:uid="{00000000-0002-0000-0800-000002000000}">
      <formula1>"YAPE,PLIN,EFECTIVO,TRANSFERENCIA,MIXTO"</formula1>
      <formula2>0</formula2>
    </dataValidation>
    <dataValidation type="list" allowBlank="1" sqref="H5:H54" xr:uid="{00000000-0002-0000-08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39DDB"/>
    <pageSetUpPr fitToPage="1"/>
  </sheetPr>
  <dimension ref="A1:K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  <col min="11" max="11" width="13" customWidth="1"/>
  </cols>
  <sheetData>
    <row r="1" spans="1:11" ht="27.75" customHeight="1" x14ac:dyDescent="0.2">
      <c r="A1" s="95" t="s">
        <v>129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15" customHeight="1" x14ac:dyDescent="0.2">
      <c r="A2" s="103" t="s">
        <v>99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ht="15" customHeight="1" x14ac:dyDescent="0.2">
      <c r="A3" s="104" t="s">
        <v>100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1" ht="33.75" customHeight="1" x14ac:dyDescent="0.2">
      <c r="A4" s="18" t="s">
        <v>101</v>
      </c>
      <c r="B4" s="15" t="s">
        <v>39</v>
      </c>
      <c r="C4" s="15" t="s">
        <v>102</v>
      </c>
      <c r="D4" s="15" t="s">
        <v>41</v>
      </c>
      <c r="E4" s="15" t="s">
        <v>40</v>
      </c>
      <c r="F4" s="18" t="s">
        <v>103</v>
      </c>
      <c r="G4" s="15" t="s">
        <v>104</v>
      </c>
      <c r="H4" s="15" t="s">
        <v>105</v>
      </c>
      <c r="I4" s="15" t="s">
        <v>106</v>
      </c>
      <c r="J4" s="15" t="s">
        <v>107</v>
      </c>
      <c r="K4" s="15" t="s">
        <v>108</v>
      </c>
    </row>
    <row r="5" spans="1:11" ht="15" customHeight="1" x14ac:dyDescent="0.2">
      <c r="A5" s="58"/>
      <c r="B5" s="45">
        <v>1</v>
      </c>
      <c r="C5" s="47"/>
      <c r="D5" s="47"/>
      <c r="E5" s="46"/>
      <c r="F5" s="59"/>
      <c r="G5" s="45"/>
      <c r="H5" s="60"/>
      <c r="I5" s="59"/>
      <c r="J5" s="47"/>
      <c r="K5" s="61" t="str">
        <f>IF(F5&lt;&gt;"",F5*'🏠 INICIO'!$C$11,"")</f>
        <v/>
      </c>
    </row>
    <row r="6" spans="1:11" ht="15" customHeight="1" x14ac:dyDescent="0.2">
      <c r="A6" s="58"/>
      <c r="B6" s="55">
        <v>2</v>
      </c>
      <c r="C6" s="57"/>
      <c r="D6" s="57"/>
      <c r="E6" s="56"/>
      <c r="F6" s="59"/>
      <c r="G6" s="55"/>
      <c r="H6" s="62"/>
      <c r="I6" s="59"/>
      <c r="J6" s="57"/>
      <c r="K6" s="61" t="str">
        <f>IF(F6&lt;&gt;"",F6*'🏠 INICIO'!$C$11,"")</f>
        <v/>
      </c>
    </row>
    <row r="7" spans="1:11" ht="15" customHeight="1" x14ac:dyDescent="0.2">
      <c r="A7" s="58"/>
      <c r="B7" s="45">
        <v>3</v>
      </c>
      <c r="C7" s="47"/>
      <c r="D7" s="47"/>
      <c r="E7" s="46"/>
      <c r="F7" s="59"/>
      <c r="G7" s="45"/>
      <c r="H7" s="60"/>
      <c r="I7" s="59"/>
      <c r="J7" s="47"/>
      <c r="K7" s="61" t="str">
        <f>IF(F7&lt;&gt;"",F7*'🏠 INICIO'!$C$11,"")</f>
        <v/>
      </c>
    </row>
    <row r="8" spans="1:11" ht="15" customHeight="1" x14ac:dyDescent="0.2">
      <c r="A8" s="58"/>
      <c r="B8" s="55">
        <v>4</v>
      </c>
      <c r="C8" s="57"/>
      <c r="D8" s="57"/>
      <c r="E8" s="56"/>
      <c r="F8" s="59"/>
      <c r="G8" s="55"/>
      <c r="H8" s="62"/>
      <c r="I8" s="59"/>
      <c r="J8" s="57"/>
      <c r="K8" s="61" t="str">
        <f>IF(F8&lt;&gt;"",F8*'🏠 INICIO'!$C$11,"")</f>
        <v/>
      </c>
    </row>
    <row r="9" spans="1:11" ht="15" customHeight="1" x14ac:dyDescent="0.2">
      <c r="A9" s="58"/>
      <c r="B9" s="45">
        <v>5</v>
      </c>
      <c r="C9" s="47"/>
      <c r="D9" s="47"/>
      <c r="E9" s="46"/>
      <c r="F9" s="59"/>
      <c r="G9" s="45"/>
      <c r="H9" s="60"/>
      <c r="I9" s="59"/>
      <c r="J9" s="47"/>
      <c r="K9" s="61" t="str">
        <f>IF(F9&lt;&gt;"",F9*'🏠 INICIO'!$C$11,"")</f>
        <v/>
      </c>
    </row>
    <row r="10" spans="1:11" ht="15" customHeight="1" x14ac:dyDescent="0.2">
      <c r="A10" s="58"/>
      <c r="B10" s="55">
        <v>6</v>
      </c>
      <c r="C10" s="57"/>
      <c r="D10" s="57"/>
      <c r="E10" s="56"/>
      <c r="F10" s="59"/>
      <c r="G10" s="55"/>
      <c r="H10" s="62"/>
      <c r="I10" s="59"/>
      <c r="J10" s="57"/>
      <c r="K10" s="61" t="str">
        <f>IF(F10&lt;&gt;"",F10*'🏠 INICIO'!$C$11,"")</f>
        <v/>
      </c>
    </row>
    <row r="11" spans="1:11" ht="15" customHeight="1" x14ac:dyDescent="0.2">
      <c r="A11" s="58"/>
      <c r="B11" s="45">
        <v>7</v>
      </c>
      <c r="C11" s="47"/>
      <c r="D11" s="47"/>
      <c r="E11" s="46"/>
      <c r="F11" s="59"/>
      <c r="G11" s="45"/>
      <c r="H11" s="60"/>
      <c r="I11" s="59"/>
      <c r="J11" s="47"/>
      <c r="K11" s="61" t="str">
        <f>IF(F11&lt;&gt;"",F11*'🏠 INICIO'!$C$11,"")</f>
        <v/>
      </c>
    </row>
    <row r="12" spans="1:11" ht="15" customHeight="1" x14ac:dyDescent="0.2">
      <c r="A12" s="58"/>
      <c r="B12" s="55">
        <v>8</v>
      </c>
      <c r="C12" s="57"/>
      <c r="D12" s="57"/>
      <c r="E12" s="56"/>
      <c r="F12" s="59"/>
      <c r="G12" s="55"/>
      <c r="H12" s="62"/>
      <c r="I12" s="59"/>
      <c r="J12" s="57"/>
      <c r="K12" s="61" t="str">
        <f>IF(F12&lt;&gt;"",F12*'🏠 INICIO'!$C$11,"")</f>
        <v/>
      </c>
    </row>
    <row r="13" spans="1:11" ht="15" customHeight="1" x14ac:dyDescent="0.2">
      <c r="A13" s="58"/>
      <c r="B13" s="45">
        <v>9</v>
      </c>
      <c r="C13" s="47"/>
      <c r="D13" s="47"/>
      <c r="E13" s="46"/>
      <c r="F13" s="59"/>
      <c r="G13" s="45"/>
      <c r="H13" s="60"/>
      <c r="I13" s="59"/>
      <c r="J13" s="47"/>
      <c r="K13" s="61" t="str">
        <f>IF(F13&lt;&gt;"",F13*'🏠 INICIO'!$C$11,"")</f>
        <v/>
      </c>
    </row>
    <row r="14" spans="1:11" ht="15" customHeight="1" x14ac:dyDescent="0.2">
      <c r="A14" s="58"/>
      <c r="B14" s="55">
        <v>10</v>
      </c>
      <c r="C14" s="57"/>
      <c r="D14" s="57"/>
      <c r="E14" s="56"/>
      <c r="F14" s="59"/>
      <c r="G14" s="55"/>
      <c r="H14" s="62"/>
      <c r="I14" s="59"/>
      <c r="J14" s="57"/>
      <c r="K14" s="61" t="str">
        <f>IF(F14&lt;&gt;"",F14*'🏠 INICIO'!$C$11,"")</f>
        <v/>
      </c>
    </row>
    <row r="15" spans="1:11" ht="15" customHeight="1" x14ac:dyDescent="0.2">
      <c r="A15" s="58"/>
      <c r="B15" s="45">
        <v>11</v>
      </c>
      <c r="C15" s="47"/>
      <c r="D15" s="47"/>
      <c r="E15" s="46"/>
      <c r="F15" s="59"/>
      <c r="G15" s="45"/>
      <c r="H15" s="60"/>
      <c r="I15" s="59"/>
      <c r="J15" s="47"/>
      <c r="K15" s="61" t="str">
        <f>IF(F15&lt;&gt;"",F15*'🏠 INICIO'!$C$11,"")</f>
        <v/>
      </c>
    </row>
    <row r="16" spans="1:11" ht="15" customHeight="1" x14ac:dyDescent="0.2">
      <c r="A16" s="58"/>
      <c r="B16" s="55">
        <v>12</v>
      </c>
      <c r="C16" s="57"/>
      <c r="D16" s="57"/>
      <c r="E16" s="56"/>
      <c r="F16" s="59"/>
      <c r="G16" s="55"/>
      <c r="H16" s="62"/>
      <c r="I16" s="59"/>
      <c r="J16" s="57"/>
      <c r="K16" s="61" t="str">
        <f>IF(F16&lt;&gt;"",F16*'🏠 INICIO'!$C$11,"")</f>
        <v/>
      </c>
    </row>
    <row r="17" spans="1:11" ht="15" customHeight="1" x14ac:dyDescent="0.2">
      <c r="A17" s="58"/>
      <c r="B17" s="45">
        <v>13</v>
      </c>
      <c r="C17" s="47"/>
      <c r="D17" s="47"/>
      <c r="E17" s="46"/>
      <c r="F17" s="59"/>
      <c r="G17" s="45"/>
      <c r="H17" s="60"/>
      <c r="I17" s="59"/>
      <c r="J17" s="47"/>
      <c r="K17" s="61" t="str">
        <f>IF(F17&lt;&gt;"",F17*'🏠 INICIO'!$C$11,"")</f>
        <v/>
      </c>
    </row>
    <row r="18" spans="1:11" ht="15" customHeight="1" x14ac:dyDescent="0.2">
      <c r="A18" s="58"/>
      <c r="B18" s="55">
        <v>14</v>
      </c>
      <c r="C18" s="57"/>
      <c r="D18" s="57"/>
      <c r="E18" s="56"/>
      <c r="F18" s="59"/>
      <c r="G18" s="55"/>
      <c r="H18" s="62"/>
      <c r="I18" s="59"/>
      <c r="J18" s="57"/>
      <c r="K18" s="61" t="str">
        <f>IF(F18&lt;&gt;"",F18*'🏠 INICIO'!$C$11,"")</f>
        <v/>
      </c>
    </row>
    <row r="19" spans="1:11" ht="15" customHeight="1" x14ac:dyDescent="0.2">
      <c r="A19" s="58"/>
      <c r="B19" s="45">
        <v>15</v>
      </c>
      <c r="C19" s="47"/>
      <c r="D19" s="47"/>
      <c r="E19" s="46"/>
      <c r="F19" s="59"/>
      <c r="G19" s="45"/>
      <c r="H19" s="60"/>
      <c r="I19" s="59"/>
      <c r="J19" s="47"/>
      <c r="K19" s="61" t="str">
        <f>IF(F19&lt;&gt;"",F19*'🏠 INICIO'!$C$11,"")</f>
        <v/>
      </c>
    </row>
    <row r="20" spans="1:11" ht="15" customHeight="1" x14ac:dyDescent="0.2">
      <c r="A20" s="58"/>
      <c r="B20" s="55">
        <v>16</v>
      </c>
      <c r="C20" s="57"/>
      <c r="D20" s="57"/>
      <c r="E20" s="56"/>
      <c r="F20" s="59"/>
      <c r="G20" s="55"/>
      <c r="H20" s="62"/>
      <c r="I20" s="59"/>
      <c r="J20" s="57"/>
      <c r="K20" s="61" t="str">
        <f>IF(F20&lt;&gt;"",F20*'🏠 INICIO'!$C$11,"")</f>
        <v/>
      </c>
    </row>
    <row r="21" spans="1:11" ht="15" customHeight="1" x14ac:dyDescent="0.2">
      <c r="A21" s="58"/>
      <c r="B21" s="45">
        <v>17</v>
      </c>
      <c r="C21" s="47"/>
      <c r="D21" s="47"/>
      <c r="E21" s="46"/>
      <c r="F21" s="59"/>
      <c r="G21" s="45"/>
      <c r="H21" s="60"/>
      <c r="I21" s="59"/>
      <c r="J21" s="47"/>
      <c r="K21" s="61" t="str">
        <f>IF(F21&lt;&gt;"",F21*'🏠 INICIO'!$C$11,"")</f>
        <v/>
      </c>
    </row>
    <row r="22" spans="1:11" ht="15" customHeight="1" x14ac:dyDescent="0.2">
      <c r="A22" s="58"/>
      <c r="B22" s="55">
        <v>18</v>
      </c>
      <c r="C22" s="57"/>
      <c r="D22" s="57"/>
      <c r="E22" s="56"/>
      <c r="F22" s="59"/>
      <c r="G22" s="55"/>
      <c r="H22" s="62"/>
      <c r="I22" s="59"/>
      <c r="J22" s="57"/>
      <c r="K22" s="61" t="str">
        <f>IF(F22&lt;&gt;"",F22*'🏠 INICIO'!$C$11,"")</f>
        <v/>
      </c>
    </row>
    <row r="23" spans="1:11" ht="15" customHeight="1" x14ac:dyDescent="0.2">
      <c r="A23" s="58"/>
      <c r="B23" s="45">
        <v>19</v>
      </c>
      <c r="C23" s="47"/>
      <c r="D23" s="47"/>
      <c r="E23" s="46"/>
      <c r="F23" s="59"/>
      <c r="G23" s="45"/>
      <c r="H23" s="60"/>
      <c r="I23" s="59"/>
      <c r="J23" s="47"/>
      <c r="K23" s="61" t="str">
        <f>IF(F23&lt;&gt;"",F23*'🏠 INICIO'!$C$11,"")</f>
        <v/>
      </c>
    </row>
    <row r="24" spans="1:11" ht="15" customHeight="1" x14ac:dyDescent="0.2">
      <c r="A24" s="58"/>
      <c r="B24" s="55">
        <v>20</v>
      </c>
      <c r="C24" s="57"/>
      <c r="D24" s="57"/>
      <c r="E24" s="56"/>
      <c r="F24" s="59"/>
      <c r="G24" s="55"/>
      <c r="H24" s="62"/>
      <c r="I24" s="59"/>
      <c r="J24" s="57"/>
      <c r="K24" s="61" t="str">
        <f>IF(F24&lt;&gt;"",F24*'🏠 INICIO'!$C$11,"")</f>
        <v/>
      </c>
    </row>
    <row r="25" spans="1:11" ht="15" customHeight="1" x14ac:dyDescent="0.2">
      <c r="A25" s="58"/>
      <c r="B25" s="45">
        <v>21</v>
      </c>
      <c r="C25" s="47"/>
      <c r="D25" s="47"/>
      <c r="E25" s="46"/>
      <c r="F25" s="59"/>
      <c r="G25" s="45"/>
      <c r="H25" s="60"/>
      <c r="I25" s="59"/>
      <c r="J25" s="47"/>
      <c r="K25" s="61" t="str">
        <f>IF(F25&lt;&gt;"",F25*'🏠 INICIO'!$C$11,"")</f>
        <v/>
      </c>
    </row>
    <row r="26" spans="1:11" ht="15" customHeight="1" x14ac:dyDescent="0.2">
      <c r="A26" s="58"/>
      <c r="B26" s="55">
        <v>22</v>
      </c>
      <c r="C26" s="57"/>
      <c r="D26" s="57"/>
      <c r="E26" s="56"/>
      <c r="F26" s="59"/>
      <c r="G26" s="55"/>
      <c r="H26" s="62"/>
      <c r="I26" s="59"/>
      <c r="J26" s="57"/>
      <c r="K26" s="61" t="str">
        <f>IF(F26&lt;&gt;"",F26*'🏠 INICIO'!$C$11,"")</f>
        <v/>
      </c>
    </row>
    <row r="27" spans="1:11" ht="15" customHeight="1" x14ac:dyDescent="0.2">
      <c r="A27" s="58"/>
      <c r="B27" s="45">
        <v>23</v>
      </c>
      <c r="C27" s="47"/>
      <c r="D27" s="47"/>
      <c r="E27" s="46"/>
      <c r="F27" s="59"/>
      <c r="G27" s="45"/>
      <c r="H27" s="60"/>
      <c r="I27" s="59"/>
      <c r="J27" s="47"/>
      <c r="K27" s="61" t="str">
        <f>IF(F27&lt;&gt;"",F27*'🏠 INICIO'!$C$11,"")</f>
        <v/>
      </c>
    </row>
    <row r="28" spans="1:11" ht="15" customHeight="1" x14ac:dyDescent="0.2">
      <c r="A28" s="58"/>
      <c r="B28" s="55">
        <v>24</v>
      </c>
      <c r="C28" s="57"/>
      <c r="D28" s="57"/>
      <c r="E28" s="56"/>
      <c r="F28" s="59"/>
      <c r="G28" s="55"/>
      <c r="H28" s="62"/>
      <c r="I28" s="59"/>
      <c r="J28" s="57"/>
      <c r="K28" s="61" t="str">
        <f>IF(F28&lt;&gt;"",F28*'🏠 INICIO'!$C$11,"")</f>
        <v/>
      </c>
    </row>
    <row r="29" spans="1:11" ht="15" customHeight="1" x14ac:dyDescent="0.2">
      <c r="A29" s="58"/>
      <c r="B29" s="45">
        <v>25</v>
      </c>
      <c r="C29" s="47"/>
      <c r="D29" s="47"/>
      <c r="E29" s="46"/>
      <c r="F29" s="59"/>
      <c r="G29" s="45"/>
      <c r="H29" s="60"/>
      <c r="I29" s="59"/>
      <c r="J29" s="47"/>
      <c r="K29" s="61" t="str">
        <f>IF(F29&lt;&gt;"",F29*'🏠 INICIO'!$C$11,"")</f>
        <v/>
      </c>
    </row>
    <row r="30" spans="1:11" ht="15" customHeight="1" x14ac:dyDescent="0.2">
      <c r="A30" s="58"/>
      <c r="B30" s="55">
        <v>26</v>
      </c>
      <c r="C30" s="57"/>
      <c r="D30" s="57"/>
      <c r="E30" s="56"/>
      <c r="F30" s="59"/>
      <c r="G30" s="55"/>
      <c r="H30" s="62"/>
      <c r="I30" s="59"/>
      <c r="J30" s="57"/>
      <c r="K30" s="61" t="str">
        <f>IF(F30&lt;&gt;"",F30*'🏠 INICIO'!$C$11,"")</f>
        <v/>
      </c>
    </row>
    <row r="31" spans="1:11" ht="15" customHeight="1" x14ac:dyDescent="0.2">
      <c r="A31" s="58"/>
      <c r="B31" s="45">
        <v>27</v>
      </c>
      <c r="C31" s="47"/>
      <c r="D31" s="47"/>
      <c r="E31" s="46"/>
      <c r="F31" s="59"/>
      <c r="G31" s="45"/>
      <c r="H31" s="60"/>
      <c r="I31" s="59"/>
      <c r="J31" s="47"/>
      <c r="K31" s="61" t="str">
        <f>IF(F31&lt;&gt;"",F31*'🏠 INICIO'!$C$11,"")</f>
        <v/>
      </c>
    </row>
    <row r="32" spans="1:11" ht="15" customHeight="1" x14ac:dyDescent="0.2">
      <c r="A32" s="58"/>
      <c r="B32" s="55">
        <v>28</v>
      </c>
      <c r="C32" s="57"/>
      <c r="D32" s="57"/>
      <c r="E32" s="56"/>
      <c r="F32" s="59"/>
      <c r="G32" s="55"/>
      <c r="H32" s="62"/>
      <c r="I32" s="59"/>
      <c r="J32" s="57"/>
      <c r="K32" s="61" t="str">
        <f>IF(F32&lt;&gt;"",F32*'🏠 INICIO'!$C$11,"")</f>
        <v/>
      </c>
    </row>
    <row r="33" spans="1:11" ht="15" customHeight="1" x14ac:dyDescent="0.2">
      <c r="A33" s="58"/>
      <c r="B33" s="45">
        <v>29</v>
      </c>
      <c r="C33" s="47"/>
      <c r="D33" s="47"/>
      <c r="E33" s="46"/>
      <c r="F33" s="59"/>
      <c r="G33" s="45"/>
      <c r="H33" s="60"/>
      <c r="I33" s="59"/>
      <c r="J33" s="47"/>
      <c r="K33" s="61" t="str">
        <f>IF(F33&lt;&gt;"",F33*'🏠 INICIO'!$C$11,"")</f>
        <v/>
      </c>
    </row>
    <row r="34" spans="1:11" ht="15" customHeight="1" x14ac:dyDescent="0.2">
      <c r="A34" s="58"/>
      <c r="B34" s="55">
        <v>30</v>
      </c>
      <c r="C34" s="57"/>
      <c r="D34" s="57"/>
      <c r="E34" s="56"/>
      <c r="F34" s="59"/>
      <c r="G34" s="55"/>
      <c r="H34" s="62"/>
      <c r="I34" s="59"/>
      <c r="J34" s="57"/>
      <c r="K34" s="61" t="str">
        <f>IF(F34&lt;&gt;"",F34*'🏠 INICIO'!$C$11,"")</f>
        <v/>
      </c>
    </row>
    <row r="35" spans="1:11" ht="15" customHeight="1" x14ac:dyDescent="0.2">
      <c r="A35" s="58"/>
      <c r="B35" s="45">
        <v>31</v>
      </c>
      <c r="C35" s="47"/>
      <c r="D35" s="47"/>
      <c r="E35" s="46"/>
      <c r="F35" s="59"/>
      <c r="G35" s="45"/>
      <c r="H35" s="60"/>
      <c r="I35" s="59"/>
      <c r="J35" s="47"/>
      <c r="K35" s="61" t="str">
        <f>IF(F35&lt;&gt;"",F35*'🏠 INICIO'!$C$11,"")</f>
        <v/>
      </c>
    </row>
    <row r="36" spans="1:11" ht="15" customHeight="1" x14ac:dyDescent="0.2">
      <c r="A36" s="58"/>
      <c r="B36" s="55">
        <v>32</v>
      </c>
      <c r="C36" s="57"/>
      <c r="D36" s="57"/>
      <c r="E36" s="56"/>
      <c r="F36" s="59"/>
      <c r="G36" s="55"/>
      <c r="H36" s="62"/>
      <c r="I36" s="59"/>
      <c r="J36" s="57"/>
      <c r="K36" s="61" t="str">
        <f>IF(F36&lt;&gt;"",F36*'🏠 INICIO'!$C$11,"")</f>
        <v/>
      </c>
    </row>
    <row r="37" spans="1:11" ht="15" customHeight="1" x14ac:dyDescent="0.2">
      <c r="A37" s="58"/>
      <c r="B37" s="45">
        <v>33</v>
      </c>
      <c r="C37" s="47"/>
      <c r="D37" s="47"/>
      <c r="E37" s="46"/>
      <c r="F37" s="59"/>
      <c r="G37" s="45"/>
      <c r="H37" s="60"/>
      <c r="I37" s="59"/>
      <c r="J37" s="47"/>
      <c r="K37" s="61" t="str">
        <f>IF(F37&lt;&gt;"",F37*'🏠 INICIO'!$C$11,"")</f>
        <v/>
      </c>
    </row>
    <row r="38" spans="1:11" ht="15" customHeight="1" x14ac:dyDescent="0.2">
      <c r="A38" s="58"/>
      <c r="B38" s="55">
        <v>34</v>
      </c>
      <c r="C38" s="57"/>
      <c r="D38" s="57"/>
      <c r="E38" s="56"/>
      <c r="F38" s="59"/>
      <c r="G38" s="55"/>
      <c r="H38" s="62"/>
      <c r="I38" s="59"/>
      <c r="J38" s="57"/>
      <c r="K38" s="61" t="str">
        <f>IF(F38&lt;&gt;"",F38*'🏠 INICIO'!$C$11,"")</f>
        <v/>
      </c>
    </row>
    <row r="39" spans="1:11" ht="15" customHeight="1" x14ac:dyDescent="0.2">
      <c r="A39" s="58"/>
      <c r="B39" s="45">
        <v>35</v>
      </c>
      <c r="C39" s="47"/>
      <c r="D39" s="47"/>
      <c r="E39" s="46"/>
      <c r="F39" s="59"/>
      <c r="G39" s="45"/>
      <c r="H39" s="60"/>
      <c r="I39" s="59"/>
      <c r="J39" s="47"/>
      <c r="K39" s="61" t="str">
        <f>IF(F39&lt;&gt;"",F39*'🏠 INICIO'!$C$11,"")</f>
        <v/>
      </c>
    </row>
    <row r="40" spans="1:11" ht="15" customHeight="1" x14ac:dyDescent="0.2">
      <c r="A40" s="58"/>
      <c r="B40" s="55">
        <v>36</v>
      </c>
      <c r="C40" s="57"/>
      <c r="D40" s="57"/>
      <c r="E40" s="56"/>
      <c r="F40" s="59"/>
      <c r="G40" s="55"/>
      <c r="H40" s="62"/>
      <c r="I40" s="59"/>
      <c r="J40" s="57"/>
      <c r="K40" s="61" t="str">
        <f>IF(F40&lt;&gt;"",F40*'🏠 INICIO'!$C$11,"")</f>
        <v/>
      </c>
    </row>
    <row r="41" spans="1:11" ht="15" customHeight="1" x14ac:dyDescent="0.2">
      <c r="A41" s="58"/>
      <c r="B41" s="45">
        <v>37</v>
      </c>
      <c r="C41" s="47"/>
      <c r="D41" s="47"/>
      <c r="E41" s="46"/>
      <c r="F41" s="59"/>
      <c r="G41" s="45"/>
      <c r="H41" s="60"/>
      <c r="I41" s="59"/>
      <c r="J41" s="47"/>
      <c r="K41" s="61" t="str">
        <f>IF(F41&lt;&gt;"",F41*'🏠 INICIO'!$C$11,"")</f>
        <v/>
      </c>
    </row>
    <row r="42" spans="1:11" ht="15" customHeight="1" x14ac:dyDescent="0.2">
      <c r="A42" s="58"/>
      <c r="B42" s="55">
        <v>38</v>
      </c>
      <c r="C42" s="57"/>
      <c r="D42" s="57"/>
      <c r="E42" s="56"/>
      <c r="F42" s="59"/>
      <c r="G42" s="55"/>
      <c r="H42" s="62"/>
      <c r="I42" s="59"/>
      <c r="J42" s="57"/>
      <c r="K42" s="61" t="str">
        <f>IF(F42&lt;&gt;"",F42*'🏠 INICIO'!$C$11,"")</f>
        <v/>
      </c>
    </row>
    <row r="43" spans="1:11" ht="15" customHeight="1" x14ac:dyDescent="0.2">
      <c r="A43" s="58"/>
      <c r="B43" s="45">
        <v>39</v>
      </c>
      <c r="C43" s="47"/>
      <c r="D43" s="47"/>
      <c r="E43" s="46"/>
      <c r="F43" s="59"/>
      <c r="G43" s="45"/>
      <c r="H43" s="60"/>
      <c r="I43" s="59"/>
      <c r="J43" s="47"/>
      <c r="K43" s="61" t="str">
        <f>IF(F43&lt;&gt;"",F43*'🏠 INICIO'!$C$11,"")</f>
        <v/>
      </c>
    </row>
    <row r="44" spans="1:11" ht="15" customHeight="1" x14ac:dyDescent="0.2">
      <c r="A44" s="58"/>
      <c r="B44" s="55">
        <v>40</v>
      </c>
      <c r="C44" s="57"/>
      <c r="D44" s="57"/>
      <c r="E44" s="56"/>
      <c r="F44" s="59"/>
      <c r="G44" s="55"/>
      <c r="H44" s="62"/>
      <c r="I44" s="59"/>
      <c r="J44" s="57"/>
      <c r="K44" s="61" t="str">
        <f>IF(F44&lt;&gt;"",F44*'🏠 INICIO'!$C$11,"")</f>
        <v/>
      </c>
    </row>
    <row r="45" spans="1:11" ht="15" customHeight="1" x14ac:dyDescent="0.2">
      <c r="A45" s="58"/>
      <c r="B45" s="45">
        <v>41</v>
      </c>
      <c r="C45" s="47"/>
      <c r="D45" s="47"/>
      <c r="E45" s="46"/>
      <c r="F45" s="59"/>
      <c r="G45" s="45"/>
      <c r="H45" s="60"/>
      <c r="I45" s="59"/>
      <c r="J45" s="47"/>
      <c r="K45" s="61" t="str">
        <f>IF(F45&lt;&gt;"",F45*'🏠 INICIO'!$C$11,"")</f>
        <v/>
      </c>
    </row>
    <row r="46" spans="1:11" ht="15" customHeight="1" x14ac:dyDescent="0.2">
      <c r="A46" s="58"/>
      <c r="B46" s="55">
        <v>42</v>
      </c>
      <c r="C46" s="57"/>
      <c r="D46" s="57"/>
      <c r="E46" s="56"/>
      <c r="F46" s="59"/>
      <c r="G46" s="55"/>
      <c r="H46" s="62"/>
      <c r="I46" s="59"/>
      <c r="J46" s="57"/>
      <c r="K46" s="61" t="str">
        <f>IF(F46&lt;&gt;"",F46*'🏠 INICIO'!$C$11,"")</f>
        <v/>
      </c>
    </row>
    <row r="47" spans="1:11" ht="15" customHeight="1" x14ac:dyDescent="0.2">
      <c r="A47" s="58"/>
      <c r="B47" s="45">
        <v>43</v>
      </c>
      <c r="C47" s="47"/>
      <c r="D47" s="47"/>
      <c r="E47" s="46"/>
      <c r="F47" s="59"/>
      <c r="G47" s="45"/>
      <c r="H47" s="60"/>
      <c r="I47" s="59"/>
      <c r="J47" s="47"/>
      <c r="K47" s="61" t="str">
        <f>IF(F47&lt;&gt;"",F47*'🏠 INICIO'!$C$11,"")</f>
        <v/>
      </c>
    </row>
    <row r="48" spans="1:11" ht="15" customHeight="1" x14ac:dyDescent="0.2">
      <c r="A48" s="58"/>
      <c r="B48" s="55">
        <v>44</v>
      </c>
      <c r="C48" s="57"/>
      <c r="D48" s="57"/>
      <c r="E48" s="56"/>
      <c r="F48" s="59"/>
      <c r="G48" s="55"/>
      <c r="H48" s="62"/>
      <c r="I48" s="59"/>
      <c r="J48" s="57"/>
      <c r="K48" s="61" t="str">
        <f>IF(F48&lt;&gt;"",F48*'🏠 INICIO'!$C$11,"")</f>
        <v/>
      </c>
    </row>
    <row r="49" spans="1:11" ht="15" customHeight="1" x14ac:dyDescent="0.2">
      <c r="A49" s="58"/>
      <c r="B49" s="45">
        <v>45</v>
      </c>
      <c r="C49" s="47"/>
      <c r="D49" s="47"/>
      <c r="E49" s="46"/>
      <c r="F49" s="59"/>
      <c r="G49" s="45"/>
      <c r="H49" s="60"/>
      <c r="I49" s="59"/>
      <c r="J49" s="47"/>
      <c r="K49" s="61" t="str">
        <f>IF(F49&lt;&gt;"",F49*'🏠 INICIO'!$C$11,"")</f>
        <v/>
      </c>
    </row>
    <row r="50" spans="1:11" ht="15" customHeight="1" x14ac:dyDescent="0.2">
      <c r="A50" s="58"/>
      <c r="B50" s="55">
        <v>46</v>
      </c>
      <c r="C50" s="57"/>
      <c r="D50" s="57"/>
      <c r="E50" s="56"/>
      <c r="F50" s="59"/>
      <c r="G50" s="55"/>
      <c r="H50" s="62"/>
      <c r="I50" s="59"/>
      <c r="J50" s="57"/>
      <c r="K50" s="61" t="str">
        <f>IF(F50&lt;&gt;"",F50*'🏠 INICIO'!$C$11,"")</f>
        <v/>
      </c>
    </row>
    <row r="51" spans="1:11" ht="15" customHeight="1" x14ac:dyDescent="0.2">
      <c r="A51" s="58"/>
      <c r="B51" s="45">
        <v>47</v>
      </c>
      <c r="C51" s="47"/>
      <c r="D51" s="47"/>
      <c r="E51" s="46"/>
      <c r="F51" s="59"/>
      <c r="G51" s="45"/>
      <c r="H51" s="60"/>
      <c r="I51" s="59"/>
      <c r="J51" s="47"/>
      <c r="K51" s="61" t="str">
        <f>IF(F51&lt;&gt;"",F51*'🏠 INICIO'!$C$11,"")</f>
        <v/>
      </c>
    </row>
    <row r="52" spans="1:11" ht="15" customHeight="1" x14ac:dyDescent="0.2">
      <c r="A52" s="58"/>
      <c r="B52" s="55">
        <v>48</v>
      </c>
      <c r="C52" s="57"/>
      <c r="D52" s="57"/>
      <c r="E52" s="56"/>
      <c r="F52" s="59"/>
      <c r="G52" s="55"/>
      <c r="H52" s="62"/>
      <c r="I52" s="59"/>
      <c r="J52" s="57"/>
      <c r="K52" s="61" t="str">
        <f>IF(F52&lt;&gt;"",F52*'🏠 INICIO'!$C$11,"")</f>
        <v/>
      </c>
    </row>
    <row r="53" spans="1:11" ht="15" customHeight="1" x14ac:dyDescent="0.2">
      <c r="A53" s="58"/>
      <c r="B53" s="45">
        <v>49</v>
      </c>
      <c r="C53" s="47"/>
      <c r="D53" s="47"/>
      <c r="E53" s="46"/>
      <c r="F53" s="59"/>
      <c r="G53" s="45"/>
      <c r="H53" s="60"/>
      <c r="I53" s="59"/>
      <c r="J53" s="47"/>
      <c r="K53" s="61" t="str">
        <f>IF(F53&lt;&gt;"",F53*'🏠 INICIO'!$C$11,"")</f>
        <v/>
      </c>
    </row>
    <row r="54" spans="1:11" ht="15" customHeight="1" x14ac:dyDescent="0.2">
      <c r="A54" s="58"/>
      <c r="B54" s="55">
        <v>50</v>
      </c>
      <c r="C54" s="57"/>
      <c r="D54" s="57"/>
      <c r="E54" s="56"/>
      <c r="F54" s="59"/>
      <c r="G54" s="55"/>
      <c r="H54" s="62"/>
      <c r="I54" s="59"/>
      <c r="J54" s="57"/>
      <c r="K54" s="61" t="str">
        <f>IF(F54&lt;&gt;"",F54*'🏠 INICIO'!$C$11,"")</f>
        <v/>
      </c>
    </row>
    <row r="56" spans="1:11" ht="24" customHeight="1" x14ac:dyDescent="0.2">
      <c r="A56" s="82" t="s">
        <v>130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</row>
    <row r="57" spans="1:11" ht="23.25" customHeight="1" x14ac:dyDescent="0.2">
      <c r="A57" s="105" t="s">
        <v>114</v>
      </c>
      <c r="B57" s="105"/>
      <c r="C57" s="105" t="s">
        <v>115</v>
      </c>
      <c r="D57" s="105"/>
      <c r="E57" s="106" t="s">
        <v>116</v>
      </c>
      <c r="F57" s="106"/>
      <c r="G57" s="107" t="s">
        <v>117</v>
      </c>
      <c r="H57" s="107"/>
      <c r="I57" s="108" t="s">
        <v>118</v>
      </c>
      <c r="J57" s="108"/>
    </row>
    <row r="58" spans="1:11" ht="25.5" customHeight="1" x14ac:dyDescent="0.2">
      <c r="A58" s="98">
        <f>SUM(F5:F54)</f>
        <v>0</v>
      </c>
      <c r="B58" s="98"/>
      <c r="C58" s="99">
        <f>COUNTIF(H5:H54,"PAGADO")</f>
        <v>0</v>
      </c>
      <c r="D58" s="99"/>
      <c r="E58" s="100">
        <f>COUNTIF(H5:H54,"FALTA CANCELAR")</f>
        <v>0</v>
      </c>
      <c r="F58" s="100"/>
      <c r="G58" s="101">
        <f>SUM(I5:I54)</f>
        <v>0</v>
      </c>
      <c r="H58" s="101"/>
      <c r="I58" s="102">
        <f>SUM(K5:K54)</f>
        <v>0</v>
      </c>
      <c r="J58" s="102"/>
    </row>
  </sheetData>
  <mergeCells count="14">
    <mergeCell ref="A1:K1"/>
    <mergeCell ref="A2:K2"/>
    <mergeCell ref="A3:K3"/>
    <mergeCell ref="A56:K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</mergeCells>
  <conditionalFormatting sqref="H5:H54">
    <cfRule type="expression" dxfId="17" priority="2">
      <formula>$H5="PAGADO"</formula>
    </cfRule>
    <cfRule type="expression" dxfId="16" priority="3">
      <formula>$H5="FALTA CANCELAR"</formula>
    </cfRule>
    <cfRule type="expression" dxfId="15" priority="4">
      <formula>$H5="ADELANTO"</formula>
    </cfRule>
  </conditionalFormatting>
  <dataValidations count="4">
    <dataValidation type="list" allowBlank="1" sqref="A5:A54" xr:uid="{00000000-0002-0000-0900-000000000000}">
      <formula1>"1,2,3,4,5,6,7,8,9,10,11,12,13,14,15,16,17,18,19,20"</formula1>
      <formula2>0</formula2>
    </dataValidation>
    <dataValidation type="list" allowBlank="1" sqref="E5:E54" xr:uid="{00000000-0002-0000-0900-000001000000}">
      <formula1>"YANBAL,ESIKA,CYZONE,LBEL,NATURA,AVON,FARMASI,ORIFLAME,OTRO"</formula1>
      <formula2>0</formula2>
    </dataValidation>
    <dataValidation type="list" allowBlank="1" sqref="G5:G54" xr:uid="{00000000-0002-0000-0900-000002000000}">
      <formula1>"YAPE,PLIN,EFECTIVO,TRANSFERENCIA,MIXTO"</formula1>
      <formula2>0</formula2>
    </dataValidation>
    <dataValidation type="list" allowBlank="1" sqref="H5:H54" xr:uid="{00000000-0002-0000-09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39DDB"/>
    <pageSetUpPr fitToPage="1"/>
  </sheetPr>
  <dimension ref="A1:K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  <col min="11" max="11" width="13" customWidth="1"/>
  </cols>
  <sheetData>
    <row r="1" spans="1:11" ht="27.75" customHeight="1" x14ac:dyDescent="0.2">
      <c r="A1" s="95" t="s">
        <v>131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15" customHeight="1" x14ac:dyDescent="0.2">
      <c r="A2" s="103" t="s">
        <v>99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ht="15" customHeight="1" x14ac:dyDescent="0.2">
      <c r="A3" s="104" t="s">
        <v>100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1" ht="33.75" customHeight="1" x14ac:dyDescent="0.2">
      <c r="A4" s="18" t="s">
        <v>101</v>
      </c>
      <c r="B4" s="15" t="s">
        <v>39</v>
      </c>
      <c r="C4" s="15" t="s">
        <v>102</v>
      </c>
      <c r="D4" s="15" t="s">
        <v>41</v>
      </c>
      <c r="E4" s="15" t="s">
        <v>40</v>
      </c>
      <c r="F4" s="18" t="s">
        <v>103</v>
      </c>
      <c r="G4" s="15" t="s">
        <v>104</v>
      </c>
      <c r="H4" s="15" t="s">
        <v>105</v>
      </c>
      <c r="I4" s="15" t="s">
        <v>106</v>
      </c>
      <c r="J4" s="15" t="s">
        <v>107</v>
      </c>
      <c r="K4" s="15" t="s">
        <v>108</v>
      </c>
    </row>
    <row r="5" spans="1:11" ht="15" customHeight="1" x14ac:dyDescent="0.2">
      <c r="A5" s="58"/>
      <c r="B5" s="45">
        <v>1</v>
      </c>
      <c r="C5" s="47"/>
      <c r="D5" s="47"/>
      <c r="E5" s="46"/>
      <c r="F5" s="59"/>
      <c r="G5" s="45"/>
      <c r="H5" s="60"/>
      <c r="I5" s="59"/>
      <c r="J5" s="47"/>
      <c r="K5" s="61" t="str">
        <f>IF(F5&lt;&gt;"",F5*'🏠 INICIO'!$C$11,"")</f>
        <v/>
      </c>
    </row>
    <row r="6" spans="1:11" ht="15" customHeight="1" x14ac:dyDescent="0.2">
      <c r="A6" s="58"/>
      <c r="B6" s="55">
        <v>2</v>
      </c>
      <c r="C6" s="57"/>
      <c r="D6" s="57"/>
      <c r="E6" s="56"/>
      <c r="F6" s="59"/>
      <c r="G6" s="55"/>
      <c r="H6" s="62"/>
      <c r="I6" s="59"/>
      <c r="J6" s="57"/>
      <c r="K6" s="61" t="str">
        <f>IF(F6&lt;&gt;"",F6*'🏠 INICIO'!$C$11,"")</f>
        <v/>
      </c>
    </row>
    <row r="7" spans="1:11" ht="15" customHeight="1" x14ac:dyDescent="0.2">
      <c r="A7" s="58"/>
      <c r="B7" s="45">
        <v>3</v>
      </c>
      <c r="C7" s="47"/>
      <c r="D7" s="47"/>
      <c r="E7" s="46"/>
      <c r="F7" s="59"/>
      <c r="G7" s="45"/>
      <c r="H7" s="60"/>
      <c r="I7" s="59"/>
      <c r="J7" s="47"/>
      <c r="K7" s="61" t="str">
        <f>IF(F7&lt;&gt;"",F7*'🏠 INICIO'!$C$11,"")</f>
        <v/>
      </c>
    </row>
    <row r="8" spans="1:11" ht="15" customHeight="1" x14ac:dyDescent="0.2">
      <c r="A8" s="58"/>
      <c r="B8" s="55">
        <v>4</v>
      </c>
      <c r="C8" s="57"/>
      <c r="D8" s="57"/>
      <c r="E8" s="56"/>
      <c r="F8" s="59"/>
      <c r="G8" s="55"/>
      <c r="H8" s="62"/>
      <c r="I8" s="59"/>
      <c r="J8" s="57"/>
      <c r="K8" s="61" t="str">
        <f>IF(F8&lt;&gt;"",F8*'🏠 INICIO'!$C$11,"")</f>
        <v/>
      </c>
    </row>
    <row r="9" spans="1:11" ht="15" customHeight="1" x14ac:dyDescent="0.2">
      <c r="A9" s="58"/>
      <c r="B9" s="45">
        <v>5</v>
      </c>
      <c r="C9" s="47"/>
      <c r="D9" s="47"/>
      <c r="E9" s="46"/>
      <c r="F9" s="59"/>
      <c r="G9" s="45"/>
      <c r="H9" s="60"/>
      <c r="I9" s="59"/>
      <c r="J9" s="47"/>
      <c r="K9" s="61" t="str">
        <f>IF(F9&lt;&gt;"",F9*'🏠 INICIO'!$C$11,"")</f>
        <v/>
      </c>
    </row>
    <row r="10" spans="1:11" ht="15" customHeight="1" x14ac:dyDescent="0.2">
      <c r="A10" s="58"/>
      <c r="B10" s="55">
        <v>6</v>
      </c>
      <c r="C10" s="57"/>
      <c r="D10" s="57"/>
      <c r="E10" s="56"/>
      <c r="F10" s="59"/>
      <c r="G10" s="55"/>
      <c r="H10" s="62"/>
      <c r="I10" s="59"/>
      <c r="J10" s="57"/>
      <c r="K10" s="61" t="str">
        <f>IF(F10&lt;&gt;"",F10*'🏠 INICIO'!$C$11,"")</f>
        <v/>
      </c>
    </row>
    <row r="11" spans="1:11" ht="15" customHeight="1" x14ac:dyDescent="0.2">
      <c r="A11" s="58"/>
      <c r="B11" s="45">
        <v>7</v>
      </c>
      <c r="C11" s="47"/>
      <c r="D11" s="47"/>
      <c r="E11" s="46"/>
      <c r="F11" s="59"/>
      <c r="G11" s="45"/>
      <c r="H11" s="60"/>
      <c r="I11" s="59"/>
      <c r="J11" s="47"/>
      <c r="K11" s="61" t="str">
        <f>IF(F11&lt;&gt;"",F11*'🏠 INICIO'!$C$11,"")</f>
        <v/>
      </c>
    </row>
    <row r="12" spans="1:11" ht="15" customHeight="1" x14ac:dyDescent="0.2">
      <c r="A12" s="58"/>
      <c r="B12" s="55">
        <v>8</v>
      </c>
      <c r="C12" s="57"/>
      <c r="D12" s="57"/>
      <c r="E12" s="56"/>
      <c r="F12" s="59"/>
      <c r="G12" s="55"/>
      <c r="H12" s="62"/>
      <c r="I12" s="59"/>
      <c r="J12" s="57"/>
      <c r="K12" s="61" t="str">
        <f>IF(F12&lt;&gt;"",F12*'🏠 INICIO'!$C$11,"")</f>
        <v/>
      </c>
    </row>
    <row r="13" spans="1:11" ht="15" customHeight="1" x14ac:dyDescent="0.2">
      <c r="A13" s="58"/>
      <c r="B13" s="45">
        <v>9</v>
      </c>
      <c r="C13" s="47"/>
      <c r="D13" s="47"/>
      <c r="E13" s="46"/>
      <c r="F13" s="59"/>
      <c r="G13" s="45"/>
      <c r="H13" s="60"/>
      <c r="I13" s="59"/>
      <c r="J13" s="47"/>
      <c r="K13" s="61" t="str">
        <f>IF(F13&lt;&gt;"",F13*'🏠 INICIO'!$C$11,"")</f>
        <v/>
      </c>
    </row>
    <row r="14" spans="1:11" ht="15" customHeight="1" x14ac:dyDescent="0.2">
      <c r="A14" s="58"/>
      <c r="B14" s="55">
        <v>10</v>
      </c>
      <c r="C14" s="57"/>
      <c r="D14" s="57"/>
      <c r="E14" s="56"/>
      <c r="F14" s="59"/>
      <c r="G14" s="55"/>
      <c r="H14" s="62"/>
      <c r="I14" s="59"/>
      <c r="J14" s="57"/>
      <c r="K14" s="61" t="str">
        <f>IF(F14&lt;&gt;"",F14*'🏠 INICIO'!$C$11,"")</f>
        <v/>
      </c>
    </row>
    <row r="15" spans="1:11" ht="15" customHeight="1" x14ac:dyDescent="0.2">
      <c r="A15" s="58"/>
      <c r="B15" s="45">
        <v>11</v>
      </c>
      <c r="C15" s="47"/>
      <c r="D15" s="47"/>
      <c r="E15" s="46"/>
      <c r="F15" s="59"/>
      <c r="G15" s="45"/>
      <c r="H15" s="60"/>
      <c r="I15" s="59"/>
      <c r="J15" s="47"/>
      <c r="K15" s="61" t="str">
        <f>IF(F15&lt;&gt;"",F15*'🏠 INICIO'!$C$11,"")</f>
        <v/>
      </c>
    </row>
    <row r="16" spans="1:11" ht="15" customHeight="1" x14ac:dyDescent="0.2">
      <c r="A16" s="58"/>
      <c r="B16" s="55">
        <v>12</v>
      </c>
      <c r="C16" s="57"/>
      <c r="D16" s="57"/>
      <c r="E16" s="56"/>
      <c r="F16" s="59"/>
      <c r="G16" s="55"/>
      <c r="H16" s="62"/>
      <c r="I16" s="59"/>
      <c r="J16" s="57"/>
      <c r="K16" s="61" t="str">
        <f>IF(F16&lt;&gt;"",F16*'🏠 INICIO'!$C$11,"")</f>
        <v/>
      </c>
    </row>
    <row r="17" spans="1:11" ht="15" customHeight="1" x14ac:dyDescent="0.2">
      <c r="A17" s="58"/>
      <c r="B17" s="45">
        <v>13</v>
      </c>
      <c r="C17" s="47"/>
      <c r="D17" s="47"/>
      <c r="E17" s="46"/>
      <c r="F17" s="59"/>
      <c r="G17" s="45"/>
      <c r="H17" s="60"/>
      <c r="I17" s="59"/>
      <c r="J17" s="47"/>
      <c r="K17" s="61" t="str">
        <f>IF(F17&lt;&gt;"",F17*'🏠 INICIO'!$C$11,"")</f>
        <v/>
      </c>
    </row>
    <row r="18" spans="1:11" ht="15" customHeight="1" x14ac:dyDescent="0.2">
      <c r="A18" s="58"/>
      <c r="B18" s="55">
        <v>14</v>
      </c>
      <c r="C18" s="57"/>
      <c r="D18" s="57"/>
      <c r="E18" s="56"/>
      <c r="F18" s="59"/>
      <c r="G18" s="55"/>
      <c r="H18" s="62"/>
      <c r="I18" s="59"/>
      <c r="J18" s="57"/>
      <c r="K18" s="61" t="str">
        <f>IF(F18&lt;&gt;"",F18*'🏠 INICIO'!$C$11,"")</f>
        <v/>
      </c>
    </row>
    <row r="19" spans="1:11" ht="15" customHeight="1" x14ac:dyDescent="0.2">
      <c r="A19" s="58"/>
      <c r="B19" s="45">
        <v>15</v>
      </c>
      <c r="C19" s="47"/>
      <c r="D19" s="47"/>
      <c r="E19" s="46"/>
      <c r="F19" s="59"/>
      <c r="G19" s="45"/>
      <c r="H19" s="60"/>
      <c r="I19" s="59"/>
      <c r="J19" s="47"/>
      <c r="K19" s="61" t="str">
        <f>IF(F19&lt;&gt;"",F19*'🏠 INICIO'!$C$11,"")</f>
        <v/>
      </c>
    </row>
    <row r="20" spans="1:11" ht="15" customHeight="1" x14ac:dyDescent="0.2">
      <c r="A20" s="58"/>
      <c r="B20" s="55">
        <v>16</v>
      </c>
      <c r="C20" s="57"/>
      <c r="D20" s="57"/>
      <c r="E20" s="56"/>
      <c r="F20" s="59"/>
      <c r="G20" s="55"/>
      <c r="H20" s="62"/>
      <c r="I20" s="59"/>
      <c r="J20" s="57"/>
      <c r="K20" s="61" t="str">
        <f>IF(F20&lt;&gt;"",F20*'🏠 INICIO'!$C$11,"")</f>
        <v/>
      </c>
    </row>
    <row r="21" spans="1:11" ht="15" customHeight="1" x14ac:dyDescent="0.2">
      <c r="A21" s="58"/>
      <c r="B21" s="45">
        <v>17</v>
      </c>
      <c r="C21" s="47"/>
      <c r="D21" s="47"/>
      <c r="E21" s="46"/>
      <c r="F21" s="59"/>
      <c r="G21" s="45"/>
      <c r="H21" s="60"/>
      <c r="I21" s="59"/>
      <c r="J21" s="47"/>
      <c r="K21" s="61" t="str">
        <f>IF(F21&lt;&gt;"",F21*'🏠 INICIO'!$C$11,"")</f>
        <v/>
      </c>
    </row>
    <row r="22" spans="1:11" ht="15" customHeight="1" x14ac:dyDescent="0.2">
      <c r="A22" s="58"/>
      <c r="B22" s="55">
        <v>18</v>
      </c>
      <c r="C22" s="57"/>
      <c r="D22" s="57"/>
      <c r="E22" s="56"/>
      <c r="F22" s="59"/>
      <c r="G22" s="55"/>
      <c r="H22" s="62"/>
      <c r="I22" s="59"/>
      <c r="J22" s="57"/>
      <c r="K22" s="61" t="str">
        <f>IF(F22&lt;&gt;"",F22*'🏠 INICIO'!$C$11,"")</f>
        <v/>
      </c>
    </row>
    <row r="23" spans="1:11" ht="15" customHeight="1" x14ac:dyDescent="0.2">
      <c r="A23" s="58"/>
      <c r="B23" s="45">
        <v>19</v>
      </c>
      <c r="C23" s="47"/>
      <c r="D23" s="47"/>
      <c r="E23" s="46"/>
      <c r="F23" s="59"/>
      <c r="G23" s="45"/>
      <c r="H23" s="60"/>
      <c r="I23" s="59"/>
      <c r="J23" s="47"/>
      <c r="K23" s="61" t="str">
        <f>IF(F23&lt;&gt;"",F23*'🏠 INICIO'!$C$11,"")</f>
        <v/>
      </c>
    </row>
    <row r="24" spans="1:11" ht="15" customHeight="1" x14ac:dyDescent="0.2">
      <c r="A24" s="58"/>
      <c r="B24" s="55">
        <v>20</v>
      </c>
      <c r="C24" s="57"/>
      <c r="D24" s="57"/>
      <c r="E24" s="56"/>
      <c r="F24" s="59"/>
      <c r="G24" s="55"/>
      <c r="H24" s="62"/>
      <c r="I24" s="59"/>
      <c r="J24" s="57"/>
      <c r="K24" s="61" t="str">
        <f>IF(F24&lt;&gt;"",F24*'🏠 INICIO'!$C$11,"")</f>
        <v/>
      </c>
    </row>
    <row r="25" spans="1:11" ht="15" customHeight="1" x14ac:dyDescent="0.2">
      <c r="A25" s="58"/>
      <c r="B25" s="45">
        <v>21</v>
      </c>
      <c r="C25" s="47"/>
      <c r="D25" s="47"/>
      <c r="E25" s="46"/>
      <c r="F25" s="59"/>
      <c r="G25" s="45"/>
      <c r="H25" s="60"/>
      <c r="I25" s="59"/>
      <c r="J25" s="47"/>
      <c r="K25" s="61" t="str">
        <f>IF(F25&lt;&gt;"",F25*'🏠 INICIO'!$C$11,"")</f>
        <v/>
      </c>
    </row>
    <row r="26" spans="1:11" ht="15" customHeight="1" x14ac:dyDescent="0.2">
      <c r="A26" s="58"/>
      <c r="B26" s="55">
        <v>22</v>
      </c>
      <c r="C26" s="57"/>
      <c r="D26" s="57"/>
      <c r="E26" s="56"/>
      <c r="F26" s="59"/>
      <c r="G26" s="55"/>
      <c r="H26" s="62"/>
      <c r="I26" s="59"/>
      <c r="J26" s="57"/>
      <c r="K26" s="61" t="str">
        <f>IF(F26&lt;&gt;"",F26*'🏠 INICIO'!$C$11,"")</f>
        <v/>
      </c>
    </row>
    <row r="27" spans="1:11" ht="15" customHeight="1" x14ac:dyDescent="0.2">
      <c r="A27" s="58"/>
      <c r="B27" s="45">
        <v>23</v>
      </c>
      <c r="C27" s="47"/>
      <c r="D27" s="47"/>
      <c r="E27" s="46"/>
      <c r="F27" s="59"/>
      <c r="G27" s="45"/>
      <c r="H27" s="60"/>
      <c r="I27" s="59"/>
      <c r="J27" s="47"/>
      <c r="K27" s="61" t="str">
        <f>IF(F27&lt;&gt;"",F27*'🏠 INICIO'!$C$11,"")</f>
        <v/>
      </c>
    </row>
    <row r="28" spans="1:11" ht="15" customHeight="1" x14ac:dyDescent="0.2">
      <c r="A28" s="58"/>
      <c r="B28" s="55">
        <v>24</v>
      </c>
      <c r="C28" s="57"/>
      <c r="D28" s="57"/>
      <c r="E28" s="56"/>
      <c r="F28" s="59"/>
      <c r="G28" s="55"/>
      <c r="H28" s="62"/>
      <c r="I28" s="59"/>
      <c r="J28" s="57"/>
      <c r="K28" s="61" t="str">
        <f>IF(F28&lt;&gt;"",F28*'🏠 INICIO'!$C$11,"")</f>
        <v/>
      </c>
    </row>
    <row r="29" spans="1:11" ht="15" customHeight="1" x14ac:dyDescent="0.2">
      <c r="A29" s="58"/>
      <c r="B29" s="45">
        <v>25</v>
      </c>
      <c r="C29" s="47"/>
      <c r="D29" s="47"/>
      <c r="E29" s="46"/>
      <c r="F29" s="59"/>
      <c r="G29" s="45"/>
      <c r="H29" s="60"/>
      <c r="I29" s="59"/>
      <c r="J29" s="47"/>
      <c r="K29" s="61" t="str">
        <f>IF(F29&lt;&gt;"",F29*'🏠 INICIO'!$C$11,"")</f>
        <v/>
      </c>
    </row>
    <row r="30" spans="1:11" ht="15" customHeight="1" x14ac:dyDescent="0.2">
      <c r="A30" s="58"/>
      <c r="B30" s="55">
        <v>26</v>
      </c>
      <c r="C30" s="57"/>
      <c r="D30" s="57"/>
      <c r="E30" s="56"/>
      <c r="F30" s="59"/>
      <c r="G30" s="55"/>
      <c r="H30" s="62"/>
      <c r="I30" s="59"/>
      <c r="J30" s="57"/>
      <c r="K30" s="61" t="str">
        <f>IF(F30&lt;&gt;"",F30*'🏠 INICIO'!$C$11,"")</f>
        <v/>
      </c>
    </row>
    <row r="31" spans="1:11" ht="15" customHeight="1" x14ac:dyDescent="0.2">
      <c r="A31" s="58"/>
      <c r="B31" s="45">
        <v>27</v>
      </c>
      <c r="C31" s="47"/>
      <c r="D31" s="47"/>
      <c r="E31" s="46"/>
      <c r="F31" s="59"/>
      <c r="G31" s="45"/>
      <c r="H31" s="60"/>
      <c r="I31" s="59"/>
      <c r="J31" s="47"/>
      <c r="K31" s="61" t="str">
        <f>IF(F31&lt;&gt;"",F31*'🏠 INICIO'!$C$11,"")</f>
        <v/>
      </c>
    </row>
    <row r="32" spans="1:11" ht="15" customHeight="1" x14ac:dyDescent="0.2">
      <c r="A32" s="58"/>
      <c r="B32" s="55">
        <v>28</v>
      </c>
      <c r="C32" s="57"/>
      <c r="D32" s="57"/>
      <c r="E32" s="56"/>
      <c r="F32" s="59"/>
      <c r="G32" s="55"/>
      <c r="H32" s="62"/>
      <c r="I32" s="59"/>
      <c r="J32" s="57"/>
      <c r="K32" s="61" t="str">
        <f>IF(F32&lt;&gt;"",F32*'🏠 INICIO'!$C$11,"")</f>
        <v/>
      </c>
    </row>
    <row r="33" spans="1:11" ht="15" customHeight="1" x14ac:dyDescent="0.2">
      <c r="A33" s="58"/>
      <c r="B33" s="45">
        <v>29</v>
      </c>
      <c r="C33" s="47"/>
      <c r="D33" s="47"/>
      <c r="E33" s="46"/>
      <c r="F33" s="59"/>
      <c r="G33" s="45"/>
      <c r="H33" s="60"/>
      <c r="I33" s="59"/>
      <c r="J33" s="47"/>
      <c r="K33" s="61" t="str">
        <f>IF(F33&lt;&gt;"",F33*'🏠 INICIO'!$C$11,"")</f>
        <v/>
      </c>
    </row>
    <row r="34" spans="1:11" ht="15" customHeight="1" x14ac:dyDescent="0.2">
      <c r="A34" s="58"/>
      <c r="B34" s="55">
        <v>30</v>
      </c>
      <c r="C34" s="57"/>
      <c r="D34" s="57"/>
      <c r="E34" s="56"/>
      <c r="F34" s="59"/>
      <c r="G34" s="55"/>
      <c r="H34" s="62"/>
      <c r="I34" s="59"/>
      <c r="J34" s="57"/>
      <c r="K34" s="61" t="str">
        <f>IF(F34&lt;&gt;"",F34*'🏠 INICIO'!$C$11,"")</f>
        <v/>
      </c>
    </row>
    <row r="35" spans="1:11" ht="15" customHeight="1" x14ac:dyDescent="0.2">
      <c r="A35" s="58"/>
      <c r="B35" s="45">
        <v>31</v>
      </c>
      <c r="C35" s="47"/>
      <c r="D35" s="47"/>
      <c r="E35" s="46"/>
      <c r="F35" s="59"/>
      <c r="G35" s="45"/>
      <c r="H35" s="60"/>
      <c r="I35" s="59"/>
      <c r="J35" s="47"/>
      <c r="K35" s="61" t="str">
        <f>IF(F35&lt;&gt;"",F35*'🏠 INICIO'!$C$11,"")</f>
        <v/>
      </c>
    </row>
    <row r="36" spans="1:11" ht="15" customHeight="1" x14ac:dyDescent="0.2">
      <c r="A36" s="58"/>
      <c r="B36" s="55">
        <v>32</v>
      </c>
      <c r="C36" s="57"/>
      <c r="D36" s="57"/>
      <c r="E36" s="56"/>
      <c r="F36" s="59"/>
      <c r="G36" s="55"/>
      <c r="H36" s="62"/>
      <c r="I36" s="59"/>
      <c r="J36" s="57"/>
      <c r="K36" s="61" t="str">
        <f>IF(F36&lt;&gt;"",F36*'🏠 INICIO'!$C$11,"")</f>
        <v/>
      </c>
    </row>
    <row r="37" spans="1:11" ht="15" customHeight="1" x14ac:dyDescent="0.2">
      <c r="A37" s="58"/>
      <c r="B37" s="45">
        <v>33</v>
      </c>
      <c r="C37" s="47"/>
      <c r="D37" s="47"/>
      <c r="E37" s="46"/>
      <c r="F37" s="59"/>
      <c r="G37" s="45"/>
      <c r="H37" s="60"/>
      <c r="I37" s="59"/>
      <c r="J37" s="47"/>
      <c r="K37" s="61" t="str">
        <f>IF(F37&lt;&gt;"",F37*'🏠 INICIO'!$C$11,"")</f>
        <v/>
      </c>
    </row>
    <row r="38" spans="1:11" ht="15" customHeight="1" x14ac:dyDescent="0.2">
      <c r="A38" s="58"/>
      <c r="B38" s="55">
        <v>34</v>
      </c>
      <c r="C38" s="57"/>
      <c r="D38" s="57"/>
      <c r="E38" s="56"/>
      <c r="F38" s="59"/>
      <c r="G38" s="55"/>
      <c r="H38" s="62"/>
      <c r="I38" s="59"/>
      <c r="J38" s="57"/>
      <c r="K38" s="61" t="str">
        <f>IF(F38&lt;&gt;"",F38*'🏠 INICIO'!$C$11,"")</f>
        <v/>
      </c>
    </row>
    <row r="39" spans="1:11" ht="15" customHeight="1" x14ac:dyDescent="0.2">
      <c r="A39" s="58"/>
      <c r="B39" s="45">
        <v>35</v>
      </c>
      <c r="C39" s="47"/>
      <c r="D39" s="47"/>
      <c r="E39" s="46"/>
      <c r="F39" s="59"/>
      <c r="G39" s="45"/>
      <c r="H39" s="60"/>
      <c r="I39" s="59"/>
      <c r="J39" s="47"/>
      <c r="K39" s="61" t="str">
        <f>IF(F39&lt;&gt;"",F39*'🏠 INICIO'!$C$11,"")</f>
        <v/>
      </c>
    </row>
    <row r="40" spans="1:11" ht="15" customHeight="1" x14ac:dyDescent="0.2">
      <c r="A40" s="58"/>
      <c r="B40" s="55">
        <v>36</v>
      </c>
      <c r="C40" s="57"/>
      <c r="D40" s="57"/>
      <c r="E40" s="56"/>
      <c r="F40" s="59"/>
      <c r="G40" s="55"/>
      <c r="H40" s="62"/>
      <c r="I40" s="59"/>
      <c r="J40" s="57"/>
      <c r="K40" s="61" t="str">
        <f>IF(F40&lt;&gt;"",F40*'🏠 INICIO'!$C$11,"")</f>
        <v/>
      </c>
    </row>
    <row r="41" spans="1:11" ht="15" customHeight="1" x14ac:dyDescent="0.2">
      <c r="A41" s="58"/>
      <c r="B41" s="45">
        <v>37</v>
      </c>
      <c r="C41" s="47"/>
      <c r="D41" s="47"/>
      <c r="E41" s="46"/>
      <c r="F41" s="59"/>
      <c r="G41" s="45"/>
      <c r="H41" s="60"/>
      <c r="I41" s="59"/>
      <c r="J41" s="47"/>
      <c r="K41" s="61" t="str">
        <f>IF(F41&lt;&gt;"",F41*'🏠 INICIO'!$C$11,"")</f>
        <v/>
      </c>
    </row>
    <row r="42" spans="1:11" ht="15" customHeight="1" x14ac:dyDescent="0.2">
      <c r="A42" s="58"/>
      <c r="B42" s="55">
        <v>38</v>
      </c>
      <c r="C42" s="57"/>
      <c r="D42" s="57"/>
      <c r="E42" s="56"/>
      <c r="F42" s="59"/>
      <c r="G42" s="55"/>
      <c r="H42" s="62"/>
      <c r="I42" s="59"/>
      <c r="J42" s="57"/>
      <c r="K42" s="61" t="str">
        <f>IF(F42&lt;&gt;"",F42*'🏠 INICIO'!$C$11,"")</f>
        <v/>
      </c>
    </row>
    <row r="43" spans="1:11" ht="15" customHeight="1" x14ac:dyDescent="0.2">
      <c r="A43" s="58"/>
      <c r="B43" s="45">
        <v>39</v>
      </c>
      <c r="C43" s="47"/>
      <c r="D43" s="47"/>
      <c r="E43" s="46"/>
      <c r="F43" s="59"/>
      <c r="G43" s="45"/>
      <c r="H43" s="60"/>
      <c r="I43" s="59"/>
      <c r="J43" s="47"/>
      <c r="K43" s="61" t="str">
        <f>IF(F43&lt;&gt;"",F43*'🏠 INICIO'!$C$11,"")</f>
        <v/>
      </c>
    </row>
    <row r="44" spans="1:11" ht="15" customHeight="1" x14ac:dyDescent="0.2">
      <c r="A44" s="58"/>
      <c r="B44" s="55">
        <v>40</v>
      </c>
      <c r="C44" s="57"/>
      <c r="D44" s="57"/>
      <c r="E44" s="56"/>
      <c r="F44" s="59"/>
      <c r="G44" s="55"/>
      <c r="H44" s="62"/>
      <c r="I44" s="59"/>
      <c r="J44" s="57"/>
      <c r="K44" s="61" t="str">
        <f>IF(F44&lt;&gt;"",F44*'🏠 INICIO'!$C$11,"")</f>
        <v/>
      </c>
    </row>
    <row r="45" spans="1:11" ht="15" customHeight="1" x14ac:dyDescent="0.2">
      <c r="A45" s="58"/>
      <c r="B45" s="45">
        <v>41</v>
      </c>
      <c r="C45" s="47"/>
      <c r="D45" s="47"/>
      <c r="E45" s="46"/>
      <c r="F45" s="59"/>
      <c r="G45" s="45"/>
      <c r="H45" s="60"/>
      <c r="I45" s="59"/>
      <c r="J45" s="47"/>
      <c r="K45" s="61" t="str">
        <f>IF(F45&lt;&gt;"",F45*'🏠 INICIO'!$C$11,"")</f>
        <v/>
      </c>
    </row>
    <row r="46" spans="1:11" ht="15" customHeight="1" x14ac:dyDescent="0.2">
      <c r="A46" s="58"/>
      <c r="B46" s="55">
        <v>42</v>
      </c>
      <c r="C46" s="57"/>
      <c r="D46" s="57"/>
      <c r="E46" s="56"/>
      <c r="F46" s="59"/>
      <c r="G46" s="55"/>
      <c r="H46" s="62"/>
      <c r="I46" s="59"/>
      <c r="J46" s="57"/>
      <c r="K46" s="61" t="str">
        <f>IF(F46&lt;&gt;"",F46*'🏠 INICIO'!$C$11,"")</f>
        <v/>
      </c>
    </row>
    <row r="47" spans="1:11" ht="15" customHeight="1" x14ac:dyDescent="0.2">
      <c r="A47" s="58"/>
      <c r="B47" s="45">
        <v>43</v>
      </c>
      <c r="C47" s="47"/>
      <c r="D47" s="47"/>
      <c r="E47" s="46"/>
      <c r="F47" s="59"/>
      <c r="G47" s="45"/>
      <c r="H47" s="60"/>
      <c r="I47" s="59"/>
      <c r="J47" s="47"/>
      <c r="K47" s="61" t="str">
        <f>IF(F47&lt;&gt;"",F47*'🏠 INICIO'!$C$11,"")</f>
        <v/>
      </c>
    </row>
    <row r="48" spans="1:11" ht="15" customHeight="1" x14ac:dyDescent="0.2">
      <c r="A48" s="58"/>
      <c r="B48" s="55">
        <v>44</v>
      </c>
      <c r="C48" s="57"/>
      <c r="D48" s="57"/>
      <c r="E48" s="56"/>
      <c r="F48" s="59"/>
      <c r="G48" s="55"/>
      <c r="H48" s="62"/>
      <c r="I48" s="59"/>
      <c r="J48" s="57"/>
      <c r="K48" s="61" t="str">
        <f>IF(F48&lt;&gt;"",F48*'🏠 INICIO'!$C$11,"")</f>
        <v/>
      </c>
    </row>
    <row r="49" spans="1:11" ht="15" customHeight="1" x14ac:dyDescent="0.2">
      <c r="A49" s="58"/>
      <c r="B49" s="45">
        <v>45</v>
      </c>
      <c r="C49" s="47"/>
      <c r="D49" s="47"/>
      <c r="E49" s="46"/>
      <c r="F49" s="59"/>
      <c r="G49" s="45"/>
      <c r="H49" s="60"/>
      <c r="I49" s="59"/>
      <c r="J49" s="47"/>
      <c r="K49" s="61" t="str">
        <f>IF(F49&lt;&gt;"",F49*'🏠 INICIO'!$C$11,"")</f>
        <v/>
      </c>
    </row>
    <row r="50" spans="1:11" ht="15" customHeight="1" x14ac:dyDescent="0.2">
      <c r="A50" s="58"/>
      <c r="B50" s="55">
        <v>46</v>
      </c>
      <c r="C50" s="57"/>
      <c r="D50" s="57"/>
      <c r="E50" s="56"/>
      <c r="F50" s="59"/>
      <c r="G50" s="55"/>
      <c r="H50" s="62"/>
      <c r="I50" s="59"/>
      <c r="J50" s="57"/>
      <c r="K50" s="61" t="str">
        <f>IF(F50&lt;&gt;"",F50*'🏠 INICIO'!$C$11,"")</f>
        <v/>
      </c>
    </row>
    <row r="51" spans="1:11" ht="15" customHeight="1" x14ac:dyDescent="0.2">
      <c r="A51" s="58"/>
      <c r="B51" s="45">
        <v>47</v>
      </c>
      <c r="C51" s="47"/>
      <c r="D51" s="47"/>
      <c r="E51" s="46"/>
      <c r="F51" s="59"/>
      <c r="G51" s="45"/>
      <c r="H51" s="60"/>
      <c r="I51" s="59"/>
      <c r="J51" s="47"/>
      <c r="K51" s="61" t="str">
        <f>IF(F51&lt;&gt;"",F51*'🏠 INICIO'!$C$11,"")</f>
        <v/>
      </c>
    </row>
    <row r="52" spans="1:11" ht="15" customHeight="1" x14ac:dyDescent="0.2">
      <c r="A52" s="58"/>
      <c r="B52" s="55">
        <v>48</v>
      </c>
      <c r="C52" s="57"/>
      <c r="D52" s="57"/>
      <c r="E52" s="56"/>
      <c r="F52" s="59"/>
      <c r="G52" s="55"/>
      <c r="H52" s="62"/>
      <c r="I52" s="59"/>
      <c r="J52" s="57"/>
      <c r="K52" s="61" t="str">
        <f>IF(F52&lt;&gt;"",F52*'🏠 INICIO'!$C$11,"")</f>
        <v/>
      </c>
    </row>
    <row r="53" spans="1:11" ht="15" customHeight="1" x14ac:dyDescent="0.2">
      <c r="A53" s="58"/>
      <c r="B53" s="45">
        <v>49</v>
      </c>
      <c r="C53" s="47"/>
      <c r="D53" s="47"/>
      <c r="E53" s="46"/>
      <c r="F53" s="59"/>
      <c r="G53" s="45"/>
      <c r="H53" s="60"/>
      <c r="I53" s="59"/>
      <c r="J53" s="47"/>
      <c r="K53" s="61" t="str">
        <f>IF(F53&lt;&gt;"",F53*'🏠 INICIO'!$C$11,"")</f>
        <v/>
      </c>
    </row>
    <row r="54" spans="1:11" ht="15" customHeight="1" x14ac:dyDescent="0.2">
      <c r="A54" s="58"/>
      <c r="B54" s="55">
        <v>50</v>
      </c>
      <c r="C54" s="57"/>
      <c r="D54" s="57"/>
      <c r="E54" s="56"/>
      <c r="F54" s="59"/>
      <c r="G54" s="55"/>
      <c r="H54" s="62"/>
      <c r="I54" s="59"/>
      <c r="J54" s="57"/>
      <c r="K54" s="61" t="str">
        <f>IF(F54&lt;&gt;"",F54*'🏠 INICIO'!$C$11,"")</f>
        <v/>
      </c>
    </row>
    <row r="56" spans="1:11" ht="24" customHeight="1" x14ac:dyDescent="0.2">
      <c r="A56" s="82" t="s">
        <v>132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</row>
    <row r="57" spans="1:11" ht="23.25" customHeight="1" x14ac:dyDescent="0.2">
      <c r="A57" s="105" t="s">
        <v>114</v>
      </c>
      <c r="B57" s="105"/>
      <c r="C57" s="105" t="s">
        <v>115</v>
      </c>
      <c r="D57" s="105"/>
      <c r="E57" s="106" t="s">
        <v>116</v>
      </c>
      <c r="F57" s="106"/>
      <c r="G57" s="107" t="s">
        <v>117</v>
      </c>
      <c r="H57" s="107"/>
      <c r="I57" s="108" t="s">
        <v>118</v>
      </c>
      <c r="J57" s="108"/>
    </row>
    <row r="58" spans="1:11" ht="25.5" customHeight="1" x14ac:dyDescent="0.2">
      <c r="A58" s="98">
        <f>SUM(F5:F54)</f>
        <v>0</v>
      </c>
      <c r="B58" s="98"/>
      <c r="C58" s="99">
        <f>COUNTIF(H5:H54,"PAGADO")</f>
        <v>0</v>
      </c>
      <c r="D58" s="99"/>
      <c r="E58" s="100">
        <f>COUNTIF(H5:H54,"FALTA CANCELAR")</f>
        <v>0</v>
      </c>
      <c r="F58" s="100"/>
      <c r="G58" s="101">
        <f>SUM(I5:I54)</f>
        <v>0</v>
      </c>
      <c r="H58" s="101"/>
      <c r="I58" s="102">
        <f>SUM(K5:K54)</f>
        <v>0</v>
      </c>
      <c r="J58" s="102"/>
    </row>
  </sheetData>
  <mergeCells count="14">
    <mergeCell ref="A1:K1"/>
    <mergeCell ref="A2:K2"/>
    <mergeCell ref="A3:K3"/>
    <mergeCell ref="A56:K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</mergeCells>
  <conditionalFormatting sqref="H5:H54">
    <cfRule type="expression" dxfId="14" priority="2">
      <formula>$H5="PAGADO"</formula>
    </cfRule>
    <cfRule type="expression" dxfId="13" priority="3">
      <formula>$H5="FALTA CANCELAR"</formula>
    </cfRule>
    <cfRule type="expression" dxfId="12" priority="4">
      <formula>$H5="ADELANTO"</formula>
    </cfRule>
  </conditionalFormatting>
  <dataValidations count="4">
    <dataValidation type="list" allowBlank="1" sqref="A5:A54" xr:uid="{00000000-0002-0000-0A00-000000000000}">
      <formula1>"1,2,3,4,5,6,7,8,9,10,11,12,13,14,15,16,17,18,19,20"</formula1>
      <formula2>0</formula2>
    </dataValidation>
    <dataValidation type="list" allowBlank="1" sqref="E5:E54" xr:uid="{00000000-0002-0000-0A00-000001000000}">
      <formula1>"YANBAL,ESIKA,CYZONE,LBEL,NATURA,AVON,FARMASI,ORIFLAME,OTRO"</formula1>
      <formula2>0</formula2>
    </dataValidation>
    <dataValidation type="list" allowBlank="1" sqref="G5:G54" xr:uid="{00000000-0002-0000-0A00-000002000000}">
      <formula1>"YAPE,PLIN,EFECTIVO,TRANSFERENCIA,MIXTO"</formula1>
      <formula2>0</formula2>
    </dataValidation>
    <dataValidation type="list" allowBlank="1" sqref="H5:H54" xr:uid="{00000000-0002-0000-0A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39DDB"/>
    <pageSetUpPr fitToPage="1"/>
  </sheetPr>
  <dimension ref="A1:K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  <col min="11" max="11" width="13" customWidth="1"/>
  </cols>
  <sheetData>
    <row r="1" spans="1:11" ht="27.75" customHeight="1" x14ac:dyDescent="0.2">
      <c r="A1" s="95" t="s">
        <v>133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15" customHeight="1" x14ac:dyDescent="0.2">
      <c r="A2" s="103" t="s">
        <v>99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ht="15" customHeight="1" x14ac:dyDescent="0.2">
      <c r="A3" s="104" t="s">
        <v>100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1" ht="33.75" customHeight="1" x14ac:dyDescent="0.2">
      <c r="A4" s="18" t="s">
        <v>101</v>
      </c>
      <c r="B4" s="15" t="s">
        <v>39</v>
      </c>
      <c r="C4" s="15" t="s">
        <v>102</v>
      </c>
      <c r="D4" s="15" t="s">
        <v>41</v>
      </c>
      <c r="E4" s="15" t="s">
        <v>40</v>
      </c>
      <c r="F4" s="18" t="s">
        <v>103</v>
      </c>
      <c r="G4" s="15" t="s">
        <v>104</v>
      </c>
      <c r="H4" s="15" t="s">
        <v>105</v>
      </c>
      <c r="I4" s="15" t="s">
        <v>106</v>
      </c>
      <c r="J4" s="15" t="s">
        <v>107</v>
      </c>
      <c r="K4" s="15" t="s">
        <v>108</v>
      </c>
    </row>
    <row r="5" spans="1:11" ht="15" customHeight="1" x14ac:dyDescent="0.2">
      <c r="A5" s="58"/>
      <c r="B5" s="45">
        <v>1</v>
      </c>
      <c r="C5" s="47"/>
      <c r="D5" s="47"/>
      <c r="E5" s="46"/>
      <c r="F5" s="59"/>
      <c r="G5" s="45"/>
      <c r="H5" s="60"/>
      <c r="I5" s="59"/>
      <c r="J5" s="47"/>
      <c r="K5" s="61" t="str">
        <f>IF(F5&lt;&gt;"",F5*'🏠 INICIO'!$C$11,"")</f>
        <v/>
      </c>
    </row>
    <row r="6" spans="1:11" ht="15" customHeight="1" x14ac:dyDescent="0.2">
      <c r="A6" s="58"/>
      <c r="B6" s="55">
        <v>2</v>
      </c>
      <c r="C6" s="57"/>
      <c r="D6" s="57"/>
      <c r="E6" s="56"/>
      <c r="F6" s="59"/>
      <c r="G6" s="55"/>
      <c r="H6" s="62"/>
      <c r="I6" s="59"/>
      <c r="J6" s="57"/>
      <c r="K6" s="61" t="str">
        <f>IF(F6&lt;&gt;"",F6*'🏠 INICIO'!$C$11,"")</f>
        <v/>
      </c>
    </row>
    <row r="7" spans="1:11" ht="15" customHeight="1" x14ac:dyDescent="0.2">
      <c r="A7" s="58"/>
      <c r="B7" s="45">
        <v>3</v>
      </c>
      <c r="C7" s="47"/>
      <c r="D7" s="47"/>
      <c r="E7" s="46"/>
      <c r="F7" s="59"/>
      <c r="G7" s="45"/>
      <c r="H7" s="60"/>
      <c r="I7" s="59"/>
      <c r="J7" s="47"/>
      <c r="K7" s="61" t="str">
        <f>IF(F7&lt;&gt;"",F7*'🏠 INICIO'!$C$11,"")</f>
        <v/>
      </c>
    </row>
    <row r="8" spans="1:11" ht="15" customHeight="1" x14ac:dyDescent="0.2">
      <c r="A8" s="58"/>
      <c r="B8" s="55">
        <v>4</v>
      </c>
      <c r="C8" s="57"/>
      <c r="D8" s="57"/>
      <c r="E8" s="56"/>
      <c r="F8" s="59"/>
      <c r="G8" s="55"/>
      <c r="H8" s="62"/>
      <c r="I8" s="59"/>
      <c r="J8" s="57"/>
      <c r="K8" s="61" t="str">
        <f>IF(F8&lt;&gt;"",F8*'🏠 INICIO'!$C$11,"")</f>
        <v/>
      </c>
    </row>
    <row r="9" spans="1:11" ht="15" customHeight="1" x14ac:dyDescent="0.2">
      <c r="A9" s="58"/>
      <c r="B9" s="45">
        <v>5</v>
      </c>
      <c r="C9" s="47"/>
      <c r="D9" s="47"/>
      <c r="E9" s="46"/>
      <c r="F9" s="59"/>
      <c r="G9" s="45"/>
      <c r="H9" s="60"/>
      <c r="I9" s="59"/>
      <c r="J9" s="47"/>
      <c r="K9" s="61" t="str">
        <f>IF(F9&lt;&gt;"",F9*'🏠 INICIO'!$C$11,"")</f>
        <v/>
      </c>
    </row>
    <row r="10" spans="1:11" ht="15" customHeight="1" x14ac:dyDescent="0.2">
      <c r="A10" s="58"/>
      <c r="B10" s="55">
        <v>6</v>
      </c>
      <c r="C10" s="57"/>
      <c r="D10" s="57"/>
      <c r="E10" s="56"/>
      <c r="F10" s="59"/>
      <c r="G10" s="55"/>
      <c r="H10" s="62"/>
      <c r="I10" s="59"/>
      <c r="J10" s="57"/>
      <c r="K10" s="61" t="str">
        <f>IF(F10&lt;&gt;"",F10*'🏠 INICIO'!$C$11,"")</f>
        <v/>
      </c>
    </row>
    <row r="11" spans="1:11" ht="15" customHeight="1" x14ac:dyDescent="0.2">
      <c r="A11" s="58"/>
      <c r="B11" s="45">
        <v>7</v>
      </c>
      <c r="C11" s="47"/>
      <c r="D11" s="47"/>
      <c r="E11" s="46"/>
      <c r="F11" s="59"/>
      <c r="G11" s="45"/>
      <c r="H11" s="60"/>
      <c r="I11" s="59"/>
      <c r="J11" s="47"/>
      <c r="K11" s="61" t="str">
        <f>IF(F11&lt;&gt;"",F11*'🏠 INICIO'!$C$11,"")</f>
        <v/>
      </c>
    </row>
    <row r="12" spans="1:11" ht="15" customHeight="1" x14ac:dyDescent="0.2">
      <c r="A12" s="58"/>
      <c r="B12" s="55">
        <v>8</v>
      </c>
      <c r="C12" s="57"/>
      <c r="D12" s="57"/>
      <c r="E12" s="56"/>
      <c r="F12" s="59"/>
      <c r="G12" s="55"/>
      <c r="H12" s="62"/>
      <c r="I12" s="59"/>
      <c r="J12" s="57"/>
      <c r="K12" s="61" t="str">
        <f>IF(F12&lt;&gt;"",F12*'🏠 INICIO'!$C$11,"")</f>
        <v/>
      </c>
    </row>
    <row r="13" spans="1:11" ht="15" customHeight="1" x14ac:dyDescent="0.2">
      <c r="A13" s="58"/>
      <c r="B13" s="45">
        <v>9</v>
      </c>
      <c r="C13" s="47"/>
      <c r="D13" s="47"/>
      <c r="E13" s="46"/>
      <c r="F13" s="59"/>
      <c r="G13" s="45"/>
      <c r="H13" s="60"/>
      <c r="I13" s="59"/>
      <c r="J13" s="47"/>
      <c r="K13" s="61" t="str">
        <f>IF(F13&lt;&gt;"",F13*'🏠 INICIO'!$C$11,"")</f>
        <v/>
      </c>
    </row>
    <row r="14" spans="1:11" ht="15" customHeight="1" x14ac:dyDescent="0.2">
      <c r="A14" s="58"/>
      <c r="B14" s="55">
        <v>10</v>
      </c>
      <c r="C14" s="57"/>
      <c r="D14" s="57"/>
      <c r="E14" s="56"/>
      <c r="F14" s="59"/>
      <c r="G14" s="55"/>
      <c r="H14" s="62"/>
      <c r="I14" s="59"/>
      <c r="J14" s="57"/>
      <c r="K14" s="61" t="str">
        <f>IF(F14&lt;&gt;"",F14*'🏠 INICIO'!$C$11,"")</f>
        <v/>
      </c>
    </row>
    <row r="15" spans="1:11" ht="15" customHeight="1" x14ac:dyDescent="0.2">
      <c r="A15" s="58"/>
      <c r="B15" s="45">
        <v>11</v>
      </c>
      <c r="C15" s="47"/>
      <c r="D15" s="47"/>
      <c r="E15" s="46"/>
      <c r="F15" s="59"/>
      <c r="G15" s="45"/>
      <c r="H15" s="60"/>
      <c r="I15" s="59"/>
      <c r="J15" s="47"/>
      <c r="K15" s="61" t="str">
        <f>IF(F15&lt;&gt;"",F15*'🏠 INICIO'!$C$11,"")</f>
        <v/>
      </c>
    </row>
    <row r="16" spans="1:11" ht="15" customHeight="1" x14ac:dyDescent="0.2">
      <c r="A16" s="58"/>
      <c r="B16" s="55">
        <v>12</v>
      </c>
      <c r="C16" s="57"/>
      <c r="D16" s="57"/>
      <c r="E16" s="56"/>
      <c r="F16" s="59"/>
      <c r="G16" s="55"/>
      <c r="H16" s="62"/>
      <c r="I16" s="59"/>
      <c r="J16" s="57"/>
      <c r="K16" s="61" t="str">
        <f>IF(F16&lt;&gt;"",F16*'🏠 INICIO'!$C$11,"")</f>
        <v/>
      </c>
    </row>
    <row r="17" spans="1:11" ht="15" customHeight="1" x14ac:dyDescent="0.2">
      <c r="A17" s="58"/>
      <c r="B17" s="45">
        <v>13</v>
      </c>
      <c r="C17" s="47"/>
      <c r="D17" s="47"/>
      <c r="E17" s="46"/>
      <c r="F17" s="59"/>
      <c r="G17" s="45"/>
      <c r="H17" s="60"/>
      <c r="I17" s="59"/>
      <c r="J17" s="47"/>
      <c r="K17" s="61" t="str">
        <f>IF(F17&lt;&gt;"",F17*'🏠 INICIO'!$C$11,"")</f>
        <v/>
      </c>
    </row>
    <row r="18" spans="1:11" ht="15" customHeight="1" x14ac:dyDescent="0.2">
      <c r="A18" s="58"/>
      <c r="B18" s="55">
        <v>14</v>
      </c>
      <c r="C18" s="57"/>
      <c r="D18" s="57"/>
      <c r="E18" s="56"/>
      <c r="F18" s="59"/>
      <c r="G18" s="55"/>
      <c r="H18" s="62"/>
      <c r="I18" s="59"/>
      <c r="J18" s="57"/>
      <c r="K18" s="61" t="str">
        <f>IF(F18&lt;&gt;"",F18*'🏠 INICIO'!$C$11,"")</f>
        <v/>
      </c>
    </row>
    <row r="19" spans="1:11" ht="15" customHeight="1" x14ac:dyDescent="0.2">
      <c r="A19" s="58"/>
      <c r="B19" s="45">
        <v>15</v>
      </c>
      <c r="C19" s="47"/>
      <c r="D19" s="47"/>
      <c r="E19" s="46"/>
      <c r="F19" s="59"/>
      <c r="G19" s="45"/>
      <c r="H19" s="60"/>
      <c r="I19" s="59"/>
      <c r="J19" s="47"/>
      <c r="K19" s="61" t="str">
        <f>IF(F19&lt;&gt;"",F19*'🏠 INICIO'!$C$11,"")</f>
        <v/>
      </c>
    </row>
    <row r="20" spans="1:11" ht="15" customHeight="1" x14ac:dyDescent="0.2">
      <c r="A20" s="58"/>
      <c r="B20" s="55">
        <v>16</v>
      </c>
      <c r="C20" s="57"/>
      <c r="D20" s="57"/>
      <c r="E20" s="56"/>
      <c r="F20" s="59"/>
      <c r="G20" s="55"/>
      <c r="H20" s="62"/>
      <c r="I20" s="59"/>
      <c r="J20" s="57"/>
      <c r="K20" s="61" t="str">
        <f>IF(F20&lt;&gt;"",F20*'🏠 INICIO'!$C$11,"")</f>
        <v/>
      </c>
    </row>
    <row r="21" spans="1:11" ht="15" customHeight="1" x14ac:dyDescent="0.2">
      <c r="A21" s="58"/>
      <c r="B21" s="45">
        <v>17</v>
      </c>
      <c r="C21" s="47"/>
      <c r="D21" s="47"/>
      <c r="E21" s="46"/>
      <c r="F21" s="59"/>
      <c r="G21" s="45"/>
      <c r="H21" s="60"/>
      <c r="I21" s="59"/>
      <c r="J21" s="47"/>
      <c r="K21" s="61" t="str">
        <f>IF(F21&lt;&gt;"",F21*'🏠 INICIO'!$C$11,"")</f>
        <v/>
      </c>
    </row>
    <row r="22" spans="1:11" ht="15" customHeight="1" x14ac:dyDescent="0.2">
      <c r="A22" s="58"/>
      <c r="B22" s="55">
        <v>18</v>
      </c>
      <c r="C22" s="57"/>
      <c r="D22" s="57"/>
      <c r="E22" s="56"/>
      <c r="F22" s="59"/>
      <c r="G22" s="55"/>
      <c r="H22" s="62"/>
      <c r="I22" s="59"/>
      <c r="J22" s="57"/>
      <c r="K22" s="61" t="str">
        <f>IF(F22&lt;&gt;"",F22*'🏠 INICIO'!$C$11,"")</f>
        <v/>
      </c>
    </row>
    <row r="23" spans="1:11" ht="15" customHeight="1" x14ac:dyDescent="0.2">
      <c r="A23" s="58"/>
      <c r="B23" s="45">
        <v>19</v>
      </c>
      <c r="C23" s="47"/>
      <c r="D23" s="47"/>
      <c r="E23" s="46"/>
      <c r="F23" s="59"/>
      <c r="G23" s="45"/>
      <c r="H23" s="60"/>
      <c r="I23" s="59"/>
      <c r="J23" s="47"/>
      <c r="K23" s="61" t="str">
        <f>IF(F23&lt;&gt;"",F23*'🏠 INICIO'!$C$11,"")</f>
        <v/>
      </c>
    </row>
    <row r="24" spans="1:11" ht="15" customHeight="1" x14ac:dyDescent="0.2">
      <c r="A24" s="58"/>
      <c r="B24" s="55">
        <v>20</v>
      </c>
      <c r="C24" s="57"/>
      <c r="D24" s="57"/>
      <c r="E24" s="56"/>
      <c r="F24" s="59"/>
      <c r="G24" s="55"/>
      <c r="H24" s="62"/>
      <c r="I24" s="59"/>
      <c r="J24" s="57"/>
      <c r="K24" s="61" t="str">
        <f>IF(F24&lt;&gt;"",F24*'🏠 INICIO'!$C$11,"")</f>
        <v/>
      </c>
    </row>
    <row r="25" spans="1:11" ht="15" customHeight="1" x14ac:dyDescent="0.2">
      <c r="A25" s="58"/>
      <c r="B25" s="45">
        <v>21</v>
      </c>
      <c r="C25" s="47"/>
      <c r="D25" s="47"/>
      <c r="E25" s="46"/>
      <c r="F25" s="59"/>
      <c r="G25" s="45"/>
      <c r="H25" s="60"/>
      <c r="I25" s="59"/>
      <c r="J25" s="47"/>
      <c r="K25" s="61" t="str">
        <f>IF(F25&lt;&gt;"",F25*'🏠 INICIO'!$C$11,"")</f>
        <v/>
      </c>
    </row>
    <row r="26" spans="1:11" ht="15" customHeight="1" x14ac:dyDescent="0.2">
      <c r="A26" s="58"/>
      <c r="B26" s="55">
        <v>22</v>
      </c>
      <c r="C26" s="57"/>
      <c r="D26" s="57"/>
      <c r="E26" s="56"/>
      <c r="F26" s="59"/>
      <c r="G26" s="55"/>
      <c r="H26" s="62"/>
      <c r="I26" s="59"/>
      <c r="J26" s="57"/>
      <c r="K26" s="61" t="str">
        <f>IF(F26&lt;&gt;"",F26*'🏠 INICIO'!$C$11,"")</f>
        <v/>
      </c>
    </row>
    <row r="27" spans="1:11" ht="15" customHeight="1" x14ac:dyDescent="0.2">
      <c r="A27" s="58"/>
      <c r="B27" s="45">
        <v>23</v>
      </c>
      <c r="C27" s="47"/>
      <c r="D27" s="47"/>
      <c r="E27" s="46"/>
      <c r="F27" s="59"/>
      <c r="G27" s="45"/>
      <c r="H27" s="60"/>
      <c r="I27" s="59"/>
      <c r="J27" s="47"/>
      <c r="K27" s="61" t="str">
        <f>IF(F27&lt;&gt;"",F27*'🏠 INICIO'!$C$11,"")</f>
        <v/>
      </c>
    </row>
    <row r="28" spans="1:11" ht="15" customHeight="1" x14ac:dyDescent="0.2">
      <c r="A28" s="58"/>
      <c r="B28" s="55">
        <v>24</v>
      </c>
      <c r="C28" s="57"/>
      <c r="D28" s="57"/>
      <c r="E28" s="56"/>
      <c r="F28" s="59"/>
      <c r="G28" s="55"/>
      <c r="H28" s="62"/>
      <c r="I28" s="59"/>
      <c r="J28" s="57"/>
      <c r="K28" s="61" t="str">
        <f>IF(F28&lt;&gt;"",F28*'🏠 INICIO'!$C$11,"")</f>
        <v/>
      </c>
    </row>
    <row r="29" spans="1:11" ht="15" customHeight="1" x14ac:dyDescent="0.2">
      <c r="A29" s="58"/>
      <c r="B29" s="45">
        <v>25</v>
      </c>
      <c r="C29" s="47"/>
      <c r="D29" s="47"/>
      <c r="E29" s="46"/>
      <c r="F29" s="59"/>
      <c r="G29" s="45"/>
      <c r="H29" s="60"/>
      <c r="I29" s="59"/>
      <c r="J29" s="47"/>
      <c r="K29" s="61" t="str">
        <f>IF(F29&lt;&gt;"",F29*'🏠 INICIO'!$C$11,"")</f>
        <v/>
      </c>
    </row>
    <row r="30" spans="1:11" ht="15" customHeight="1" x14ac:dyDescent="0.2">
      <c r="A30" s="58"/>
      <c r="B30" s="55">
        <v>26</v>
      </c>
      <c r="C30" s="57"/>
      <c r="D30" s="57"/>
      <c r="E30" s="56"/>
      <c r="F30" s="59"/>
      <c r="G30" s="55"/>
      <c r="H30" s="62"/>
      <c r="I30" s="59"/>
      <c r="J30" s="57"/>
      <c r="K30" s="61" t="str">
        <f>IF(F30&lt;&gt;"",F30*'🏠 INICIO'!$C$11,"")</f>
        <v/>
      </c>
    </row>
    <row r="31" spans="1:11" ht="15" customHeight="1" x14ac:dyDescent="0.2">
      <c r="A31" s="58"/>
      <c r="B31" s="45">
        <v>27</v>
      </c>
      <c r="C31" s="47"/>
      <c r="D31" s="47"/>
      <c r="E31" s="46"/>
      <c r="F31" s="59"/>
      <c r="G31" s="45"/>
      <c r="H31" s="60"/>
      <c r="I31" s="59"/>
      <c r="J31" s="47"/>
      <c r="K31" s="61" t="str">
        <f>IF(F31&lt;&gt;"",F31*'🏠 INICIO'!$C$11,"")</f>
        <v/>
      </c>
    </row>
    <row r="32" spans="1:11" ht="15" customHeight="1" x14ac:dyDescent="0.2">
      <c r="A32" s="58"/>
      <c r="B32" s="55">
        <v>28</v>
      </c>
      <c r="C32" s="57"/>
      <c r="D32" s="57"/>
      <c r="E32" s="56"/>
      <c r="F32" s="59"/>
      <c r="G32" s="55"/>
      <c r="H32" s="62"/>
      <c r="I32" s="59"/>
      <c r="J32" s="57"/>
      <c r="K32" s="61" t="str">
        <f>IF(F32&lt;&gt;"",F32*'🏠 INICIO'!$C$11,"")</f>
        <v/>
      </c>
    </row>
    <row r="33" spans="1:11" ht="15" customHeight="1" x14ac:dyDescent="0.2">
      <c r="A33" s="58"/>
      <c r="B33" s="45">
        <v>29</v>
      </c>
      <c r="C33" s="47"/>
      <c r="D33" s="47"/>
      <c r="E33" s="46"/>
      <c r="F33" s="59"/>
      <c r="G33" s="45"/>
      <c r="H33" s="60"/>
      <c r="I33" s="59"/>
      <c r="J33" s="47"/>
      <c r="K33" s="61" t="str">
        <f>IF(F33&lt;&gt;"",F33*'🏠 INICIO'!$C$11,"")</f>
        <v/>
      </c>
    </row>
    <row r="34" spans="1:11" ht="15" customHeight="1" x14ac:dyDescent="0.2">
      <c r="A34" s="58"/>
      <c r="B34" s="55">
        <v>30</v>
      </c>
      <c r="C34" s="57"/>
      <c r="D34" s="57"/>
      <c r="E34" s="56"/>
      <c r="F34" s="59"/>
      <c r="G34" s="55"/>
      <c r="H34" s="62"/>
      <c r="I34" s="59"/>
      <c r="J34" s="57"/>
      <c r="K34" s="61" t="str">
        <f>IF(F34&lt;&gt;"",F34*'🏠 INICIO'!$C$11,"")</f>
        <v/>
      </c>
    </row>
    <row r="35" spans="1:11" ht="15" customHeight="1" x14ac:dyDescent="0.2">
      <c r="A35" s="58"/>
      <c r="B35" s="45">
        <v>31</v>
      </c>
      <c r="C35" s="47"/>
      <c r="D35" s="47"/>
      <c r="E35" s="46"/>
      <c r="F35" s="59"/>
      <c r="G35" s="45"/>
      <c r="H35" s="60"/>
      <c r="I35" s="59"/>
      <c r="J35" s="47"/>
      <c r="K35" s="61" t="str">
        <f>IF(F35&lt;&gt;"",F35*'🏠 INICIO'!$C$11,"")</f>
        <v/>
      </c>
    </row>
    <row r="36" spans="1:11" ht="15" customHeight="1" x14ac:dyDescent="0.2">
      <c r="A36" s="58"/>
      <c r="B36" s="55">
        <v>32</v>
      </c>
      <c r="C36" s="57"/>
      <c r="D36" s="57"/>
      <c r="E36" s="56"/>
      <c r="F36" s="59"/>
      <c r="G36" s="55"/>
      <c r="H36" s="62"/>
      <c r="I36" s="59"/>
      <c r="J36" s="57"/>
      <c r="K36" s="61" t="str">
        <f>IF(F36&lt;&gt;"",F36*'🏠 INICIO'!$C$11,"")</f>
        <v/>
      </c>
    </row>
    <row r="37" spans="1:11" ht="15" customHeight="1" x14ac:dyDescent="0.2">
      <c r="A37" s="58"/>
      <c r="B37" s="45">
        <v>33</v>
      </c>
      <c r="C37" s="47"/>
      <c r="D37" s="47"/>
      <c r="E37" s="46"/>
      <c r="F37" s="59"/>
      <c r="G37" s="45"/>
      <c r="H37" s="60"/>
      <c r="I37" s="59"/>
      <c r="J37" s="47"/>
      <c r="K37" s="61" t="str">
        <f>IF(F37&lt;&gt;"",F37*'🏠 INICIO'!$C$11,"")</f>
        <v/>
      </c>
    </row>
    <row r="38" spans="1:11" ht="15" customHeight="1" x14ac:dyDescent="0.2">
      <c r="A38" s="58"/>
      <c r="B38" s="55">
        <v>34</v>
      </c>
      <c r="C38" s="57"/>
      <c r="D38" s="57"/>
      <c r="E38" s="56"/>
      <c r="F38" s="59"/>
      <c r="G38" s="55"/>
      <c r="H38" s="62"/>
      <c r="I38" s="59"/>
      <c r="J38" s="57"/>
      <c r="K38" s="61" t="str">
        <f>IF(F38&lt;&gt;"",F38*'🏠 INICIO'!$C$11,"")</f>
        <v/>
      </c>
    </row>
    <row r="39" spans="1:11" ht="15" customHeight="1" x14ac:dyDescent="0.2">
      <c r="A39" s="58"/>
      <c r="B39" s="45">
        <v>35</v>
      </c>
      <c r="C39" s="47"/>
      <c r="D39" s="47"/>
      <c r="E39" s="46"/>
      <c r="F39" s="59"/>
      <c r="G39" s="45"/>
      <c r="H39" s="60"/>
      <c r="I39" s="59"/>
      <c r="J39" s="47"/>
      <c r="K39" s="61" t="str">
        <f>IF(F39&lt;&gt;"",F39*'🏠 INICIO'!$C$11,"")</f>
        <v/>
      </c>
    </row>
    <row r="40" spans="1:11" ht="15" customHeight="1" x14ac:dyDescent="0.2">
      <c r="A40" s="58"/>
      <c r="B40" s="55">
        <v>36</v>
      </c>
      <c r="C40" s="57"/>
      <c r="D40" s="57"/>
      <c r="E40" s="56"/>
      <c r="F40" s="59"/>
      <c r="G40" s="55"/>
      <c r="H40" s="62"/>
      <c r="I40" s="59"/>
      <c r="J40" s="57"/>
      <c r="K40" s="61" t="str">
        <f>IF(F40&lt;&gt;"",F40*'🏠 INICIO'!$C$11,"")</f>
        <v/>
      </c>
    </row>
    <row r="41" spans="1:11" ht="15" customHeight="1" x14ac:dyDescent="0.2">
      <c r="A41" s="58"/>
      <c r="B41" s="45">
        <v>37</v>
      </c>
      <c r="C41" s="47"/>
      <c r="D41" s="47"/>
      <c r="E41" s="46"/>
      <c r="F41" s="59"/>
      <c r="G41" s="45"/>
      <c r="H41" s="60"/>
      <c r="I41" s="59"/>
      <c r="J41" s="47"/>
      <c r="K41" s="61" t="str">
        <f>IF(F41&lt;&gt;"",F41*'🏠 INICIO'!$C$11,"")</f>
        <v/>
      </c>
    </row>
    <row r="42" spans="1:11" ht="15" customHeight="1" x14ac:dyDescent="0.2">
      <c r="A42" s="58"/>
      <c r="B42" s="55">
        <v>38</v>
      </c>
      <c r="C42" s="57"/>
      <c r="D42" s="57"/>
      <c r="E42" s="56"/>
      <c r="F42" s="59"/>
      <c r="G42" s="55"/>
      <c r="H42" s="62"/>
      <c r="I42" s="59"/>
      <c r="J42" s="57"/>
      <c r="K42" s="61" t="str">
        <f>IF(F42&lt;&gt;"",F42*'🏠 INICIO'!$C$11,"")</f>
        <v/>
      </c>
    </row>
    <row r="43" spans="1:11" ht="15" customHeight="1" x14ac:dyDescent="0.2">
      <c r="A43" s="58"/>
      <c r="B43" s="45">
        <v>39</v>
      </c>
      <c r="C43" s="47"/>
      <c r="D43" s="47"/>
      <c r="E43" s="46"/>
      <c r="F43" s="59"/>
      <c r="G43" s="45"/>
      <c r="H43" s="60"/>
      <c r="I43" s="59"/>
      <c r="J43" s="47"/>
      <c r="K43" s="61" t="str">
        <f>IF(F43&lt;&gt;"",F43*'🏠 INICIO'!$C$11,"")</f>
        <v/>
      </c>
    </row>
    <row r="44" spans="1:11" ht="15" customHeight="1" x14ac:dyDescent="0.2">
      <c r="A44" s="58"/>
      <c r="B44" s="55">
        <v>40</v>
      </c>
      <c r="C44" s="57"/>
      <c r="D44" s="57"/>
      <c r="E44" s="56"/>
      <c r="F44" s="59"/>
      <c r="G44" s="55"/>
      <c r="H44" s="62"/>
      <c r="I44" s="59"/>
      <c r="J44" s="57"/>
      <c r="K44" s="61" t="str">
        <f>IF(F44&lt;&gt;"",F44*'🏠 INICIO'!$C$11,"")</f>
        <v/>
      </c>
    </row>
    <row r="45" spans="1:11" ht="15" customHeight="1" x14ac:dyDescent="0.2">
      <c r="A45" s="58"/>
      <c r="B45" s="45">
        <v>41</v>
      </c>
      <c r="C45" s="47"/>
      <c r="D45" s="47"/>
      <c r="E45" s="46"/>
      <c r="F45" s="59"/>
      <c r="G45" s="45"/>
      <c r="H45" s="60"/>
      <c r="I45" s="59"/>
      <c r="J45" s="47"/>
      <c r="K45" s="61" t="str">
        <f>IF(F45&lt;&gt;"",F45*'🏠 INICIO'!$C$11,"")</f>
        <v/>
      </c>
    </row>
    <row r="46" spans="1:11" ht="15" customHeight="1" x14ac:dyDescent="0.2">
      <c r="A46" s="58"/>
      <c r="B46" s="55">
        <v>42</v>
      </c>
      <c r="C46" s="57"/>
      <c r="D46" s="57"/>
      <c r="E46" s="56"/>
      <c r="F46" s="59"/>
      <c r="G46" s="55"/>
      <c r="H46" s="62"/>
      <c r="I46" s="59"/>
      <c r="J46" s="57"/>
      <c r="K46" s="61" t="str">
        <f>IF(F46&lt;&gt;"",F46*'🏠 INICIO'!$C$11,"")</f>
        <v/>
      </c>
    </row>
    <row r="47" spans="1:11" ht="15" customHeight="1" x14ac:dyDescent="0.2">
      <c r="A47" s="58"/>
      <c r="B47" s="45">
        <v>43</v>
      </c>
      <c r="C47" s="47"/>
      <c r="D47" s="47"/>
      <c r="E47" s="46"/>
      <c r="F47" s="59"/>
      <c r="G47" s="45"/>
      <c r="H47" s="60"/>
      <c r="I47" s="59"/>
      <c r="J47" s="47"/>
      <c r="K47" s="61" t="str">
        <f>IF(F47&lt;&gt;"",F47*'🏠 INICIO'!$C$11,"")</f>
        <v/>
      </c>
    </row>
    <row r="48" spans="1:11" ht="15" customHeight="1" x14ac:dyDescent="0.2">
      <c r="A48" s="58"/>
      <c r="B48" s="55">
        <v>44</v>
      </c>
      <c r="C48" s="57"/>
      <c r="D48" s="57"/>
      <c r="E48" s="56"/>
      <c r="F48" s="59"/>
      <c r="G48" s="55"/>
      <c r="H48" s="62"/>
      <c r="I48" s="59"/>
      <c r="J48" s="57"/>
      <c r="K48" s="61" t="str">
        <f>IF(F48&lt;&gt;"",F48*'🏠 INICIO'!$C$11,"")</f>
        <v/>
      </c>
    </row>
    <row r="49" spans="1:11" ht="15" customHeight="1" x14ac:dyDescent="0.2">
      <c r="A49" s="58"/>
      <c r="B49" s="45">
        <v>45</v>
      </c>
      <c r="C49" s="47"/>
      <c r="D49" s="47"/>
      <c r="E49" s="46"/>
      <c r="F49" s="59"/>
      <c r="G49" s="45"/>
      <c r="H49" s="60"/>
      <c r="I49" s="59"/>
      <c r="J49" s="47"/>
      <c r="K49" s="61" t="str">
        <f>IF(F49&lt;&gt;"",F49*'🏠 INICIO'!$C$11,"")</f>
        <v/>
      </c>
    </row>
    <row r="50" spans="1:11" ht="15" customHeight="1" x14ac:dyDescent="0.2">
      <c r="A50" s="58"/>
      <c r="B50" s="55">
        <v>46</v>
      </c>
      <c r="C50" s="57"/>
      <c r="D50" s="57"/>
      <c r="E50" s="56"/>
      <c r="F50" s="59"/>
      <c r="G50" s="55"/>
      <c r="H50" s="62"/>
      <c r="I50" s="59"/>
      <c r="J50" s="57"/>
      <c r="K50" s="61" t="str">
        <f>IF(F50&lt;&gt;"",F50*'🏠 INICIO'!$C$11,"")</f>
        <v/>
      </c>
    </row>
    <row r="51" spans="1:11" ht="15" customHeight="1" x14ac:dyDescent="0.2">
      <c r="A51" s="58"/>
      <c r="B51" s="45">
        <v>47</v>
      </c>
      <c r="C51" s="47"/>
      <c r="D51" s="47"/>
      <c r="E51" s="46"/>
      <c r="F51" s="59"/>
      <c r="G51" s="45"/>
      <c r="H51" s="60"/>
      <c r="I51" s="59"/>
      <c r="J51" s="47"/>
      <c r="K51" s="61" t="str">
        <f>IF(F51&lt;&gt;"",F51*'🏠 INICIO'!$C$11,"")</f>
        <v/>
      </c>
    </row>
    <row r="52" spans="1:11" ht="15" customHeight="1" x14ac:dyDescent="0.2">
      <c r="A52" s="58"/>
      <c r="B52" s="55">
        <v>48</v>
      </c>
      <c r="C52" s="57"/>
      <c r="D52" s="57"/>
      <c r="E52" s="56"/>
      <c r="F52" s="59"/>
      <c r="G52" s="55"/>
      <c r="H52" s="62"/>
      <c r="I52" s="59"/>
      <c r="J52" s="57"/>
      <c r="K52" s="61" t="str">
        <f>IF(F52&lt;&gt;"",F52*'🏠 INICIO'!$C$11,"")</f>
        <v/>
      </c>
    </row>
    <row r="53" spans="1:11" ht="15" customHeight="1" x14ac:dyDescent="0.2">
      <c r="A53" s="58"/>
      <c r="B53" s="45">
        <v>49</v>
      </c>
      <c r="C53" s="47"/>
      <c r="D53" s="47"/>
      <c r="E53" s="46"/>
      <c r="F53" s="59"/>
      <c r="G53" s="45"/>
      <c r="H53" s="60"/>
      <c r="I53" s="59"/>
      <c r="J53" s="47"/>
      <c r="K53" s="61" t="str">
        <f>IF(F53&lt;&gt;"",F53*'🏠 INICIO'!$C$11,"")</f>
        <v/>
      </c>
    </row>
    <row r="54" spans="1:11" ht="15" customHeight="1" x14ac:dyDescent="0.2">
      <c r="A54" s="58"/>
      <c r="B54" s="55">
        <v>50</v>
      </c>
      <c r="C54" s="57"/>
      <c r="D54" s="57"/>
      <c r="E54" s="56"/>
      <c r="F54" s="59"/>
      <c r="G54" s="55"/>
      <c r="H54" s="62"/>
      <c r="I54" s="59"/>
      <c r="J54" s="57"/>
      <c r="K54" s="61" t="str">
        <f>IF(F54&lt;&gt;"",F54*'🏠 INICIO'!$C$11,"")</f>
        <v/>
      </c>
    </row>
    <row r="56" spans="1:11" ht="24" customHeight="1" x14ac:dyDescent="0.2">
      <c r="A56" s="82" t="s">
        <v>134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</row>
    <row r="57" spans="1:11" ht="23.25" customHeight="1" x14ac:dyDescent="0.2">
      <c r="A57" s="105" t="s">
        <v>114</v>
      </c>
      <c r="B57" s="105"/>
      <c r="C57" s="105" t="s">
        <v>115</v>
      </c>
      <c r="D57" s="105"/>
      <c r="E57" s="106" t="s">
        <v>116</v>
      </c>
      <c r="F57" s="106"/>
      <c r="G57" s="107" t="s">
        <v>117</v>
      </c>
      <c r="H57" s="107"/>
      <c r="I57" s="108" t="s">
        <v>118</v>
      </c>
      <c r="J57" s="108"/>
    </row>
    <row r="58" spans="1:11" ht="25.5" customHeight="1" x14ac:dyDescent="0.2">
      <c r="A58" s="98">
        <f>SUM(F5:F54)</f>
        <v>0</v>
      </c>
      <c r="B58" s="98"/>
      <c r="C58" s="99">
        <f>COUNTIF(H5:H54,"PAGADO")</f>
        <v>0</v>
      </c>
      <c r="D58" s="99"/>
      <c r="E58" s="100">
        <f>COUNTIF(H5:H54,"FALTA CANCELAR")</f>
        <v>0</v>
      </c>
      <c r="F58" s="100"/>
      <c r="G58" s="101">
        <f>SUM(I5:I54)</f>
        <v>0</v>
      </c>
      <c r="H58" s="101"/>
      <c r="I58" s="102">
        <f>SUM(K5:K54)</f>
        <v>0</v>
      </c>
      <c r="J58" s="102"/>
    </row>
  </sheetData>
  <mergeCells count="14">
    <mergeCell ref="A1:K1"/>
    <mergeCell ref="A2:K2"/>
    <mergeCell ref="A3:K3"/>
    <mergeCell ref="A56:K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</mergeCells>
  <conditionalFormatting sqref="H5:H54">
    <cfRule type="expression" dxfId="11" priority="2">
      <formula>$H5="PAGADO"</formula>
    </cfRule>
    <cfRule type="expression" dxfId="10" priority="3">
      <formula>$H5="FALTA CANCELAR"</formula>
    </cfRule>
    <cfRule type="expression" dxfId="9" priority="4">
      <formula>$H5="ADELANTO"</formula>
    </cfRule>
  </conditionalFormatting>
  <dataValidations count="4">
    <dataValidation type="list" allowBlank="1" sqref="A5:A54" xr:uid="{00000000-0002-0000-0B00-000000000000}">
      <formula1>"1,2,3,4,5,6,7,8,9,10,11,12,13,14,15,16,17,18,19,20"</formula1>
      <formula2>0</formula2>
    </dataValidation>
    <dataValidation type="list" allowBlank="1" sqref="E5:E54" xr:uid="{00000000-0002-0000-0B00-000001000000}">
      <formula1>"YANBAL,ESIKA,CYZONE,LBEL,NATURA,AVON,FARMASI,ORIFLAME,OTRO"</formula1>
      <formula2>0</formula2>
    </dataValidation>
    <dataValidation type="list" allowBlank="1" sqref="G5:G54" xr:uid="{00000000-0002-0000-0B00-000002000000}">
      <formula1>"YAPE,PLIN,EFECTIVO,TRANSFERENCIA,MIXTO"</formula1>
      <formula2>0</formula2>
    </dataValidation>
    <dataValidation type="list" allowBlank="1" sqref="H5:H54" xr:uid="{00000000-0002-0000-0B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B39DDB"/>
    <pageSetUpPr fitToPage="1"/>
  </sheetPr>
  <dimension ref="A1:K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  <col min="11" max="11" width="13" customWidth="1"/>
  </cols>
  <sheetData>
    <row r="1" spans="1:11" ht="27.75" customHeight="1" x14ac:dyDescent="0.2">
      <c r="A1" s="95" t="s">
        <v>135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15" customHeight="1" x14ac:dyDescent="0.2">
      <c r="A2" s="103" t="s">
        <v>99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ht="15" customHeight="1" x14ac:dyDescent="0.2">
      <c r="A3" s="104" t="s">
        <v>100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1" ht="33.75" customHeight="1" x14ac:dyDescent="0.2">
      <c r="A4" s="18" t="s">
        <v>101</v>
      </c>
      <c r="B4" s="15" t="s">
        <v>39</v>
      </c>
      <c r="C4" s="15" t="s">
        <v>102</v>
      </c>
      <c r="D4" s="15" t="s">
        <v>41</v>
      </c>
      <c r="E4" s="15" t="s">
        <v>40</v>
      </c>
      <c r="F4" s="18" t="s">
        <v>103</v>
      </c>
      <c r="G4" s="15" t="s">
        <v>104</v>
      </c>
      <c r="H4" s="15" t="s">
        <v>105</v>
      </c>
      <c r="I4" s="15" t="s">
        <v>106</v>
      </c>
      <c r="J4" s="15" t="s">
        <v>107</v>
      </c>
      <c r="K4" s="15" t="s">
        <v>108</v>
      </c>
    </row>
    <row r="5" spans="1:11" ht="15" customHeight="1" x14ac:dyDescent="0.2">
      <c r="A5" s="58"/>
      <c r="B5" s="45">
        <v>1</v>
      </c>
      <c r="C5" s="47"/>
      <c r="D5" s="47"/>
      <c r="E5" s="46"/>
      <c r="F5" s="59"/>
      <c r="G5" s="45"/>
      <c r="H5" s="60"/>
      <c r="I5" s="59"/>
      <c r="J5" s="47"/>
      <c r="K5" s="61" t="str">
        <f>IF(F5&lt;&gt;"",F5*'🏠 INICIO'!$C$11,"")</f>
        <v/>
      </c>
    </row>
    <row r="6" spans="1:11" ht="15" customHeight="1" x14ac:dyDescent="0.2">
      <c r="A6" s="58"/>
      <c r="B6" s="55">
        <v>2</v>
      </c>
      <c r="C6" s="57"/>
      <c r="D6" s="57"/>
      <c r="E6" s="56"/>
      <c r="F6" s="59"/>
      <c r="G6" s="55"/>
      <c r="H6" s="62"/>
      <c r="I6" s="59"/>
      <c r="J6" s="57"/>
      <c r="K6" s="61" t="str">
        <f>IF(F6&lt;&gt;"",F6*'🏠 INICIO'!$C$11,"")</f>
        <v/>
      </c>
    </row>
    <row r="7" spans="1:11" ht="15" customHeight="1" x14ac:dyDescent="0.2">
      <c r="A7" s="58"/>
      <c r="B7" s="45">
        <v>3</v>
      </c>
      <c r="C7" s="47"/>
      <c r="D7" s="47"/>
      <c r="E7" s="46"/>
      <c r="F7" s="59"/>
      <c r="G7" s="45"/>
      <c r="H7" s="60"/>
      <c r="I7" s="59"/>
      <c r="J7" s="47"/>
      <c r="K7" s="61" t="str">
        <f>IF(F7&lt;&gt;"",F7*'🏠 INICIO'!$C$11,"")</f>
        <v/>
      </c>
    </row>
    <row r="8" spans="1:11" ht="15" customHeight="1" x14ac:dyDescent="0.2">
      <c r="A8" s="58"/>
      <c r="B8" s="55">
        <v>4</v>
      </c>
      <c r="C8" s="57"/>
      <c r="D8" s="57"/>
      <c r="E8" s="56"/>
      <c r="F8" s="59"/>
      <c r="G8" s="55"/>
      <c r="H8" s="62"/>
      <c r="I8" s="59"/>
      <c r="J8" s="57"/>
      <c r="K8" s="61" t="str">
        <f>IF(F8&lt;&gt;"",F8*'🏠 INICIO'!$C$11,"")</f>
        <v/>
      </c>
    </row>
    <row r="9" spans="1:11" ht="15" customHeight="1" x14ac:dyDescent="0.2">
      <c r="A9" s="58"/>
      <c r="B9" s="45">
        <v>5</v>
      </c>
      <c r="C9" s="47"/>
      <c r="D9" s="47"/>
      <c r="E9" s="46"/>
      <c r="F9" s="59"/>
      <c r="G9" s="45"/>
      <c r="H9" s="60"/>
      <c r="I9" s="59"/>
      <c r="J9" s="47"/>
      <c r="K9" s="61" t="str">
        <f>IF(F9&lt;&gt;"",F9*'🏠 INICIO'!$C$11,"")</f>
        <v/>
      </c>
    </row>
    <row r="10" spans="1:11" ht="15" customHeight="1" x14ac:dyDescent="0.2">
      <c r="A10" s="58"/>
      <c r="B10" s="55">
        <v>6</v>
      </c>
      <c r="C10" s="57"/>
      <c r="D10" s="57"/>
      <c r="E10" s="56"/>
      <c r="F10" s="59"/>
      <c r="G10" s="55"/>
      <c r="H10" s="62"/>
      <c r="I10" s="59"/>
      <c r="J10" s="57"/>
      <c r="K10" s="61" t="str">
        <f>IF(F10&lt;&gt;"",F10*'🏠 INICIO'!$C$11,"")</f>
        <v/>
      </c>
    </row>
    <row r="11" spans="1:11" ht="15" customHeight="1" x14ac:dyDescent="0.2">
      <c r="A11" s="58"/>
      <c r="B11" s="45">
        <v>7</v>
      </c>
      <c r="C11" s="47"/>
      <c r="D11" s="47"/>
      <c r="E11" s="46"/>
      <c r="F11" s="59"/>
      <c r="G11" s="45"/>
      <c r="H11" s="60"/>
      <c r="I11" s="59"/>
      <c r="J11" s="47"/>
      <c r="K11" s="61" t="str">
        <f>IF(F11&lt;&gt;"",F11*'🏠 INICIO'!$C$11,"")</f>
        <v/>
      </c>
    </row>
    <row r="12" spans="1:11" ht="15" customHeight="1" x14ac:dyDescent="0.2">
      <c r="A12" s="58"/>
      <c r="B12" s="55">
        <v>8</v>
      </c>
      <c r="C12" s="57"/>
      <c r="D12" s="57"/>
      <c r="E12" s="56"/>
      <c r="F12" s="59"/>
      <c r="G12" s="55"/>
      <c r="H12" s="62"/>
      <c r="I12" s="59"/>
      <c r="J12" s="57"/>
      <c r="K12" s="61" t="str">
        <f>IF(F12&lt;&gt;"",F12*'🏠 INICIO'!$C$11,"")</f>
        <v/>
      </c>
    </row>
    <row r="13" spans="1:11" ht="15" customHeight="1" x14ac:dyDescent="0.2">
      <c r="A13" s="58"/>
      <c r="B13" s="45">
        <v>9</v>
      </c>
      <c r="C13" s="47"/>
      <c r="D13" s="47"/>
      <c r="E13" s="46"/>
      <c r="F13" s="59"/>
      <c r="G13" s="45"/>
      <c r="H13" s="60"/>
      <c r="I13" s="59"/>
      <c r="J13" s="47"/>
      <c r="K13" s="61" t="str">
        <f>IF(F13&lt;&gt;"",F13*'🏠 INICIO'!$C$11,"")</f>
        <v/>
      </c>
    </row>
    <row r="14" spans="1:11" ht="15" customHeight="1" x14ac:dyDescent="0.2">
      <c r="A14" s="58"/>
      <c r="B14" s="55">
        <v>10</v>
      </c>
      <c r="C14" s="57"/>
      <c r="D14" s="57"/>
      <c r="E14" s="56"/>
      <c r="F14" s="59"/>
      <c r="G14" s="55"/>
      <c r="H14" s="62"/>
      <c r="I14" s="59"/>
      <c r="J14" s="57"/>
      <c r="K14" s="61" t="str">
        <f>IF(F14&lt;&gt;"",F14*'🏠 INICIO'!$C$11,"")</f>
        <v/>
      </c>
    </row>
    <row r="15" spans="1:11" ht="15" customHeight="1" x14ac:dyDescent="0.2">
      <c r="A15" s="58"/>
      <c r="B15" s="45">
        <v>11</v>
      </c>
      <c r="C15" s="47"/>
      <c r="D15" s="47"/>
      <c r="E15" s="46"/>
      <c r="F15" s="59"/>
      <c r="G15" s="45"/>
      <c r="H15" s="60"/>
      <c r="I15" s="59"/>
      <c r="J15" s="47"/>
      <c r="K15" s="61" t="str">
        <f>IF(F15&lt;&gt;"",F15*'🏠 INICIO'!$C$11,"")</f>
        <v/>
      </c>
    </row>
    <row r="16" spans="1:11" ht="15" customHeight="1" x14ac:dyDescent="0.2">
      <c r="A16" s="58"/>
      <c r="B16" s="55">
        <v>12</v>
      </c>
      <c r="C16" s="57"/>
      <c r="D16" s="57"/>
      <c r="E16" s="56"/>
      <c r="F16" s="59"/>
      <c r="G16" s="55"/>
      <c r="H16" s="62"/>
      <c r="I16" s="59"/>
      <c r="J16" s="57"/>
      <c r="K16" s="61" t="str">
        <f>IF(F16&lt;&gt;"",F16*'🏠 INICIO'!$C$11,"")</f>
        <v/>
      </c>
    </row>
    <row r="17" spans="1:11" ht="15" customHeight="1" x14ac:dyDescent="0.2">
      <c r="A17" s="58"/>
      <c r="B17" s="45">
        <v>13</v>
      </c>
      <c r="C17" s="47"/>
      <c r="D17" s="47"/>
      <c r="E17" s="46"/>
      <c r="F17" s="59"/>
      <c r="G17" s="45"/>
      <c r="H17" s="60"/>
      <c r="I17" s="59"/>
      <c r="J17" s="47"/>
      <c r="K17" s="61" t="str">
        <f>IF(F17&lt;&gt;"",F17*'🏠 INICIO'!$C$11,"")</f>
        <v/>
      </c>
    </row>
    <row r="18" spans="1:11" ht="15" customHeight="1" x14ac:dyDescent="0.2">
      <c r="A18" s="58"/>
      <c r="B18" s="55">
        <v>14</v>
      </c>
      <c r="C18" s="57"/>
      <c r="D18" s="57"/>
      <c r="E18" s="56"/>
      <c r="F18" s="59"/>
      <c r="G18" s="55"/>
      <c r="H18" s="62"/>
      <c r="I18" s="59"/>
      <c r="J18" s="57"/>
      <c r="K18" s="61" t="str">
        <f>IF(F18&lt;&gt;"",F18*'🏠 INICIO'!$C$11,"")</f>
        <v/>
      </c>
    </row>
    <row r="19" spans="1:11" ht="15" customHeight="1" x14ac:dyDescent="0.2">
      <c r="A19" s="58"/>
      <c r="B19" s="45">
        <v>15</v>
      </c>
      <c r="C19" s="47"/>
      <c r="D19" s="47"/>
      <c r="E19" s="46"/>
      <c r="F19" s="59"/>
      <c r="G19" s="45"/>
      <c r="H19" s="60"/>
      <c r="I19" s="59"/>
      <c r="J19" s="47"/>
      <c r="K19" s="61" t="str">
        <f>IF(F19&lt;&gt;"",F19*'🏠 INICIO'!$C$11,"")</f>
        <v/>
      </c>
    </row>
    <row r="20" spans="1:11" ht="15" customHeight="1" x14ac:dyDescent="0.2">
      <c r="A20" s="58"/>
      <c r="B20" s="55">
        <v>16</v>
      </c>
      <c r="C20" s="57"/>
      <c r="D20" s="57"/>
      <c r="E20" s="56"/>
      <c r="F20" s="59"/>
      <c r="G20" s="55"/>
      <c r="H20" s="62"/>
      <c r="I20" s="59"/>
      <c r="J20" s="57"/>
      <c r="K20" s="61" t="str">
        <f>IF(F20&lt;&gt;"",F20*'🏠 INICIO'!$C$11,"")</f>
        <v/>
      </c>
    </row>
    <row r="21" spans="1:11" ht="15" customHeight="1" x14ac:dyDescent="0.2">
      <c r="A21" s="58"/>
      <c r="B21" s="45">
        <v>17</v>
      </c>
      <c r="C21" s="47"/>
      <c r="D21" s="47"/>
      <c r="E21" s="46"/>
      <c r="F21" s="59"/>
      <c r="G21" s="45"/>
      <c r="H21" s="60"/>
      <c r="I21" s="59"/>
      <c r="J21" s="47"/>
      <c r="K21" s="61" t="str">
        <f>IF(F21&lt;&gt;"",F21*'🏠 INICIO'!$C$11,"")</f>
        <v/>
      </c>
    </row>
    <row r="22" spans="1:11" ht="15" customHeight="1" x14ac:dyDescent="0.2">
      <c r="A22" s="58"/>
      <c r="B22" s="55">
        <v>18</v>
      </c>
      <c r="C22" s="57"/>
      <c r="D22" s="57"/>
      <c r="E22" s="56"/>
      <c r="F22" s="59"/>
      <c r="G22" s="55"/>
      <c r="H22" s="62"/>
      <c r="I22" s="59"/>
      <c r="J22" s="57"/>
      <c r="K22" s="61" t="str">
        <f>IF(F22&lt;&gt;"",F22*'🏠 INICIO'!$C$11,"")</f>
        <v/>
      </c>
    </row>
    <row r="23" spans="1:11" ht="15" customHeight="1" x14ac:dyDescent="0.2">
      <c r="A23" s="58"/>
      <c r="B23" s="45">
        <v>19</v>
      </c>
      <c r="C23" s="47"/>
      <c r="D23" s="47"/>
      <c r="E23" s="46"/>
      <c r="F23" s="59"/>
      <c r="G23" s="45"/>
      <c r="H23" s="60"/>
      <c r="I23" s="59"/>
      <c r="J23" s="47"/>
      <c r="K23" s="61" t="str">
        <f>IF(F23&lt;&gt;"",F23*'🏠 INICIO'!$C$11,"")</f>
        <v/>
      </c>
    </row>
    <row r="24" spans="1:11" ht="15" customHeight="1" x14ac:dyDescent="0.2">
      <c r="A24" s="58"/>
      <c r="B24" s="55">
        <v>20</v>
      </c>
      <c r="C24" s="57"/>
      <c r="D24" s="57"/>
      <c r="E24" s="56"/>
      <c r="F24" s="59"/>
      <c r="G24" s="55"/>
      <c r="H24" s="62"/>
      <c r="I24" s="59"/>
      <c r="J24" s="57"/>
      <c r="K24" s="61" t="str">
        <f>IF(F24&lt;&gt;"",F24*'🏠 INICIO'!$C$11,"")</f>
        <v/>
      </c>
    </row>
    <row r="25" spans="1:11" ht="15" customHeight="1" x14ac:dyDescent="0.2">
      <c r="A25" s="58"/>
      <c r="B25" s="45">
        <v>21</v>
      </c>
      <c r="C25" s="47"/>
      <c r="D25" s="47"/>
      <c r="E25" s="46"/>
      <c r="F25" s="59"/>
      <c r="G25" s="45"/>
      <c r="H25" s="60"/>
      <c r="I25" s="59"/>
      <c r="J25" s="47"/>
      <c r="K25" s="61" t="str">
        <f>IF(F25&lt;&gt;"",F25*'🏠 INICIO'!$C$11,"")</f>
        <v/>
      </c>
    </row>
    <row r="26" spans="1:11" ht="15" customHeight="1" x14ac:dyDescent="0.2">
      <c r="A26" s="58"/>
      <c r="B26" s="55">
        <v>22</v>
      </c>
      <c r="C26" s="57"/>
      <c r="D26" s="57"/>
      <c r="E26" s="56"/>
      <c r="F26" s="59"/>
      <c r="G26" s="55"/>
      <c r="H26" s="62"/>
      <c r="I26" s="59"/>
      <c r="J26" s="57"/>
      <c r="K26" s="61" t="str">
        <f>IF(F26&lt;&gt;"",F26*'🏠 INICIO'!$C$11,"")</f>
        <v/>
      </c>
    </row>
    <row r="27" spans="1:11" ht="15" customHeight="1" x14ac:dyDescent="0.2">
      <c r="A27" s="58"/>
      <c r="B27" s="45">
        <v>23</v>
      </c>
      <c r="C27" s="47"/>
      <c r="D27" s="47"/>
      <c r="E27" s="46"/>
      <c r="F27" s="59"/>
      <c r="G27" s="45"/>
      <c r="H27" s="60"/>
      <c r="I27" s="59"/>
      <c r="J27" s="47"/>
      <c r="K27" s="61" t="str">
        <f>IF(F27&lt;&gt;"",F27*'🏠 INICIO'!$C$11,"")</f>
        <v/>
      </c>
    </row>
    <row r="28" spans="1:11" ht="15" customHeight="1" x14ac:dyDescent="0.2">
      <c r="A28" s="58"/>
      <c r="B28" s="55">
        <v>24</v>
      </c>
      <c r="C28" s="57"/>
      <c r="D28" s="57"/>
      <c r="E28" s="56"/>
      <c r="F28" s="59"/>
      <c r="G28" s="55"/>
      <c r="H28" s="62"/>
      <c r="I28" s="59"/>
      <c r="J28" s="57"/>
      <c r="K28" s="61" t="str">
        <f>IF(F28&lt;&gt;"",F28*'🏠 INICIO'!$C$11,"")</f>
        <v/>
      </c>
    </row>
    <row r="29" spans="1:11" ht="15" customHeight="1" x14ac:dyDescent="0.2">
      <c r="A29" s="58"/>
      <c r="B29" s="45">
        <v>25</v>
      </c>
      <c r="C29" s="47"/>
      <c r="D29" s="47"/>
      <c r="E29" s="46"/>
      <c r="F29" s="59"/>
      <c r="G29" s="45"/>
      <c r="H29" s="60"/>
      <c r="I29" s="59"/>
      <c r="J29" s="47"/>
      <c r="K29" s="61" t="str">
        <f>IF(F29&lt;&gt;"",F29*'🏠 INICIO'!$C$11,"")</f>
        <v/>
      </c>
    </row>
    <row r="30" spans="1:11" ht="15" customHeight="1" x14ac:dyDescent="0.2">
      <c r="A30" s="58"/>
      <c r="B30" s="55">
        <v>26</v>
      </c>
      <c r="C30" s="57"/>
      <c r="D30" s="57"/>
      <c r="E30" s="56"/>
      <c r="F30" s="59"/>
      <c r="G30" s="55"/>
      <c r="H30" s="62"/>
      <c r="I30" s="59"/>
      <c r="J30" s="57"/>
      <c r="K30" s="61" t="str">
        <f>IF(F30&lt;&gt;"",F30*'🏠 INICIO'!$C$11,"")</f>
        <v/>
      </c>
    </row>
    <row r="31" spans="1:11" ht="15" customHeight="1" x14ac:dyDescent="0.2">
      <c r="A31" s="58"/>
      <c r="B31" s="45">
        <v>27</v>
      </c>
      <c r="C31" s="47"/>
      <c r="D31" s="47"/>
      <c r="E31" s="46"/>
      <c r="F31" s="59"/>
      <c r="G31" s="45"/>
      <c r="H31" s="60"/>
      <c r="I31" s="59"/>
      <c r="J31" s="47"/>
      <c r="K31" s="61" t="str">
        <f>IF(F31&lt;&gt;"",F31*'🏠 INICIO'!$C$11,"")</f>
        <v/>
      </c>
    </row>
    <row r="32" spans="1:11" ht="15" customHeight="1" x14ac:dyDescent="0.2">
      <c r="A32" s="58"/>
      <c r="B32" s="55">
        <v>28</v>
      </c>
      <c r="C32" s="57"/>
      <c r="D32" s="57"/>
      <c r="E32" s="56"/>
      <c r="F32" s="59"/>
      <c r="G32" s="55"/>
      <c r="H32" s="62"/>
      <c r="I32" s="59"/>
      <c r="J32" s="57"/>
      <c r="K32" s="61" t="str">
        <f>IF(F32&lt;&gt;"",F32*'🏠 INICIO'!$C$11,"")</f>
        <v/>
      </c>
    </row>
    <row r="33" spans="1:11" ht="15" customHeight="1" x14ac:dyDescent="0.2">
      <c r="A33" s="58"/>
      <c r="B33" s="45">
        <v>29</v>
      </c>
      <c r="C33" s="47"/>
      <c r="D33" s="47"/>
      <c r="E33" s="46"/>
      <c r="F33" s="59"/>
      <c r="G33" s="45"/>
      <c r="H33" s="60"/>
      <c r="I33" s="59"/>
      <c r="J33" s="47"/>
      <c r="K33" s="61" t="str">
        <f>IF(F33&lt;&gt;"",F33*'🏠 INICIO'!$C$11,"")</f>
        <v/>
      </c>
    </row>
    <row r="34" spans="1:11" ht="15" customHeight="1" x14ac:dyDescent="0.2">
      <c r="A34" s="58"/>
      <c r="B34" s="55">
        <v>30</v>
      </c>
      <c r="C34" s="57"/>
      <c r="D34" s="57"/>
      <c r="E34" s="56"/>
      <c r="F34" s="59"/>
      <c r="G34" s="55"/>
      <c r="H34" s="62"/>
      <c r="I34" s="59"/>
      <c r="J34" s="57"/>
      <c r="K34" s="61" t="str">
        <f>IF(F34&lt;&gt;"",F34*'🏠 INICIO'!$C$11,"")</f>
        <v/>
      </c>
    </row>
    <row r="35" spans="1:11" ht="15" customHeight="1" x14ac:dyDescent="0.2">
      <c r="A35" s="58"/>
      <c r="B35" s="45">
        <v>31</v>
      </c>
      <c r="C35" s="47"/>
      <c r="D35" s="47"/>
      <c r="E35" s="46"/>
      <c r="F35" s="59"/>
      <c r="G35" s="45"/>
      <c r="H35" s="60"/>
      <c r="I35" s="59"/>
      <c r="J35" s="47"/>
      <c r="K35" s="61" t="str">
        <f>IF(F35&lt;&gt;"",F35*'🏠 INICIO'!$C$11,"")</f>
        <v/>
      </c>
    </row>
    <row r="36" spans="1:11" ht="15" customHeight="1" x14ac:dyDescent="0.2">
      <c r="A36" s="58"/>
      <c r="B36" s="55">
        <v>32</v>
      </c>
      <c r="C36" s="57"/>
      <c r="D36" s="57"/>
      <c r="E36" s="56"/>
      <c r="F36" s="59"/>
      <c r="G36" s="55"/>
      <c r="H36" s="62"/>
      <c r="I36" s="59"/>
      <c r="J36" s="57"/>
      <c r="K36" s="61" t="str">
        <f>IF(F36&lt;&gt;"",F36*'🏠 INICIO'!$C$11,"")</f>
        <v/>
      </c>
    </row>
    <row r="37" spans="1:11" ht="15" customHeight="1" x14ac:dyDescent="0.2">
      <c r="A37" s="58"/>
      <c r="B37" s="45">
        <v>33</v>
      </c>
      <c r="C37" s="47"/>
      <c r="D37" s="47"/>
      <c r="E37" s="46"/>
      <c r="F37" s="59"/>
      <c r="G37" s="45"/>
      <c r="H37" s="60"/>
      <c r="I37" s="59"/>
      <c r="J37" s="47"/>
      <c r="K37" s="61" t="str">
        <f>IF(F37&lt;&gt;"",F37*'🏠 INICIO'!$C$11,"")</f>
        <v/>
      </c>
    </row>
    <row r="38" spans="1:11" ht="15" customHeight="1" x14ac:dyDescent="0.2">
      <c r="A38" s="58"/>
      <c r="B38" s="55">
        <v>34</v>
      </c>
      <c r="C38" s="57"/>
      <c r="D38" s="57"/>
      <c r="E38" s="56"/>
      <c r="F38" s="59"/>
      <c r="G38" s="55"/>
      <c r="H38" s="62"/>
      <c r="I38" s="59"/>
      <c r="J38" s="57"/>
      <c r="K38" s="61" t="str">
        <f>IF(F38&lt;&gt;"",F38*'🏠 INICIO'!$C$11,"")</f>
        <v/>
      </c>
    </row>
    <row r="39" spans="1:11" ht="15" customHeight="1" x14ac:dyDescent="0.2">
      <c r="A39" s="58"/>
      <c r="B39" s="45">
        <v>35</v>
      </c>
      <c r="C39" s="47"/>
      <c r="D39" s="47"/>
      <c r="E39" s="46"/>
      <c r="F39" s="59"/>
      <c r="G39" s="45"/>
      <c r="H39" s="60"/>
      <c r="I39" s="59"/>
      <c r="J39" s="47"/>
      <c r="K39" s="61" t="str">
        <f>IF(F39&lt;&gt;"",F39*'🏠 INICIO'!$C$11,"")</f>
        <v/>
      </c>
    </row>
    <row r="40" spans="1:11" ht="15" customHeight="1" x14ac:dyDescent="0.2">
      <c r="A40" s="58"/>
      <c r="B40" s="55">
        <v>36</v>
      </c>
      <c r="C40" s="57"/>
      <c r="D40" s="57"/>
      <c r="E40" s="56"/>
      <c r="F40" s="59"/>
      <c r="G40" s="55"/>
      <c r="H40" s="62"/>
      <c r="I40" s="59"/>
      <c r="J40" s="57"/>
      <c r="K40" s="61" t="str">
        <f>IF(F40&lt;&gt;"",F40*'🏠 INICIO'!$C$11,"")</f>
        <v/>
      </c>
    </row>
    <row r="41" spans="1:11" ht="15" customHeight="1" x14ac:dyDescent="0.2">
      <c r="A41" s="58"/>
      <c r="B41" s="45">
        <v>37</v>
      </c>
      <c r="C41" s="47"/>
      <c r="D41" s="47"/>
      <c r="E41" s="46"/>
      <c r="F41" s="59"/>
      <c r="G41" s="45"/>
      <c r="H41" s="60"/>
      <c r="I41" s="59"/>
      <c r="J41" s="47"/>
      <c r="K41" s="61" t="str">
        <f>IF(F41&lt;&gt;"",F41*'🏠 INICIO'!$C$11,"")</f>
        <v/>
      </c>
    </row>
    <row r="42" spans="1:11" ht="15" customHeight="1" x14ac:dyDescent="0.2">
      <c r="A42" s="58"/>
      <c r="B42" s="55">
        <v>38</v>
      </c>
      <c r="C42" s="57"/>
      <c r="D42" s="57"/>
      <c r="E42" s="56"/>
      <c r="F42" s="59"/>
      <c r="G42" s="55"/>
      <c r="H42" s="62"/>
      <c r="I42" s="59"/>
      <c r="J42" s="57"/>
      <c r="K42" s="61" t="str">
        <f>IF(F42&lt;&gt;"",F42*'🏠 INICIO'!$C$11,"")</f>
        <v/>
      </c>
    </row>
    <row r="43" spans="1:11" ht="15" customHeight="1" x14ac:dyDescent="0.2">
      <c r="A43" s="58"/>
      <c r="B43" s="45">
        <v>39</v>
      </c>
      <c r="C43" s="47"/>
      <c r="D43" s="47"/>
      <c r="E43" s="46"/>
      <c r="F43" s="59"/>
      <c r="G43" s="45"/>
      <c r="H43" s="60"/>
      <c r="I43" s="59"/>
      <c r="J43" s="47"/>
      <c r="K43" s="61" t="str">
        <f>IF(F43&lt;&gt;"",F43*'🏠 INICIO'!$C$11,"")</f>
        <v/>
      </c>
    </row>
    <row r="44" spans="1:11" ht="15" customHeight="1" x14ac:dyDescent="0.2">
      <c r="A44" s="58"/>
      <c r="B44" s="55">
        <v>40</v>
      </c>
      <c r="C44" s="57"/>
      <c r="D44" s="57"/>
      <c r="E44" s="56"/>
      <c r="F44" s="59"/>
      <c r="G44" s="55"/>
      <c r="H44" s="62"/>
      <c r="I44" s="59"/>
      <c r="J44" s="57"/>
      <c r="K44" s="61" t="str">
        <f>IF(F44&lt;&gt;"",F44*'🏠 INICIO'!$C$11,"")</f>
        <v/>
      </c>
    </row>
    <row r="45" spans="1:11" ht="15" customHeight="1" x14ac:dyDescent="0.2">
      <c r="A45" s="58"/>
      <c r="B45" s="45">
        <v>41</v>
      </c>
      <c r="C45" s="47"/>
      <c r="D45" s="47"/>
      <c r="E45" s="46"/>
      <c r="F45" s="59"/>
      <c r="G45" s="45"/>
      <c r="H45" s="60"/>
      <c r="I45" s="59"/>
      <c r="J45" s="47"/>
      <c r="K45" s="61" t="str">
        <f>IF(F45&lt;&gt;"",F45*'🏠 INICIO'!$C$11,"")</f>
        <v/>
      </c>
    </row>
    <row r="46" spans="1:11" ht="15" customHeight="1" x14ac:dyDescent="0.2">
      <c r="A46" s="58"/>
      <c r="B46" s="55">
        <v>42</v>
      </c>
      <c r="C46" s="57"/>
      <c r="D46" s="57"/>
      <c r="E46" s="56"/>
      <c r="F46" s="59"/>
      <c r="G46" s="55"/>
      <c r="H46" s="62"/>
      <c r="I46" s="59"/>
      <c r="J46" s="57"/>
      <c r="K46" s="61" t="str">
        <f>IF(F46&lt;&gt;"",F46*'🏠 INICIO'!$C$11,"")</f>
        <v/>
      </c>
    </row>
    <row r="47" spans="1:11" ht="15" customHeight="1" x14ac:dyDescent="0.2">
      <c r="A47" s="58"/>
      <c r="B47" s="45">
        <v>43</v>
      </c>
      <c r="C47" s="47"/>
      <c r="D47" s="47"/>
      <c r="E47" s="46"/>
      <c r="F47" s="59"/>
      <c r="G47" s="45"/>
      <c r="H47" s="60"/>
      <c r="I47" s="59"/>
      <c r="J47" s="47"/>
      <c r="K47" s="61" t="str">
        <f>IF(F47&lt;&gt;"",F47*'🏠 INICIO'!$C$11,"")</f>
        <v/>
      </c>
    </row>
    <row r="48" spans="1:11" ht="15" customHeight="1" x14ac:dyDescent="0.2">
      <c r="A48" s="58"/>
      <c r="B48" s="55">
        <v>44</v>
      </c>
      <c r="C48" s="57"/>
      <c r="D48" s="57"/>
      <c r="E48" s="56"/>
      <c r="F48" s="59"/>
      <c r="G48" s="55"/>
      <c r="H48" s="62"/>
      <c r="I48" s="59"/>
      <c r="J48" s="57"/>
      <c r="K48" s="61" t="str">
        <f>IF(F48&lt;&gt;"",F48*'🏠 INICIO'!$C$11,"")</f>
        <v/>
      </c>
    </row>
    <row r="49" spans="1:11" ht="15" customHeight="1" x14ac:dyDescent="0.2">
      <c r="A49" s="58"/>
      <c r="B49" s="45">
        <v>45</v>
      </c>
      <c r="C49" s="47"/>
      <c r="D49" s="47"/>
      <c r="E49" s="46"/>
      <c r="F49" s="59"/>
      <c r="G49" s="45"/>
      <c r="H49" s="60"/>
      <c r="I49" s="59"/>
      <c r="J49" s="47"/>
      <c r="K49" s="61" t="str">
        <f>IF(F49&lt;&gt;"",F49*'🏠 INICIO'!$C$11,"")</f>
        <v/>
      </c>
    </row>
    <row r="50" spans="1:11" ht="15" customHeight="1" x14ac:dyDescent="0.2">
      <c r="A50" s="58"/>
      <c r="B50" s="55">
        <v>46</v>
      </c>
      <c r="C50" s="57"/>
      <c r="D50" s="57"/>
      <c r="E50" s="56"/>
      <c r="F50" s="59"/>
      <c r="G50" s="55"/>
      <c r="H50" s="62"/>
      <c r="I50" s="59"/>
      <c r="J50" s="57"/>
      <c r="K50" s="61" t="str">
        <f>IF(F50&lt;&gt;"",F50*'🏠 INICIO'!$C$11,"")</f>
        <v/>
      </c>
    </row>
    <row r="51" spans="1:11" ht="15" customHeight="1" x14ac:dyDescent="0.2">
      <c r="A51" s="58"/>
      <c r="B51" s="45">
        <v>47</v>
      </c>
      <c r="C51" s="47"/>
      <c r="D51" s="47"/>
      <c r="E51" s="46"/>
      <c r="F51" s="59"/>
      <c r="G51" s="45"/>
      <c r="H51" s="60"/>
      <c r="I51" s="59"/>
      <c r="J51" s="47"/>
      <c r="K51" s="61" t="str">
        <f>IF(F51&lt;&gt;"",F51*'🏠 INICIO'!$C$11,"")</f>
        <v/>
      </c>
    </row>
    <row r="52" spans="1:11" ht="15" customHeight="1" x14ac:dyDescent="0.2">
      <c r="A52" s="58"/>
      <c r="B52" s="55">
        <v>48</v>
      </c>
      <c r="C52" s="57"/>
      <c r="D52" s="57"/>
      <c r="E52" s="56"/>
      <c r="F52" s="59"/>
      <c r="G52" s="55"/>
      <c r="H52" s="62"/>
      <c r="I52" s="59"/>
      <c r="J52" s="57"/>
      <c r="K52" s="61" t="str">
        <f>IF(F52&lt;&gt;"",F52*'🏠 INICIO'!$C$11,"")</f>
        <v/>
      </c>
    </row>
    <row r="53" spans="1:11" ht="15" customHeight="1" x14ac:dyDescent="0.2">
      <c r="A53" s="58"/>
      <c r="B53" s="45">
        <v>49</v>
      </c>
      <c r="C53" s="47"/>
      <c r="D53" s="47"/>
      <c r="E53" s="46"/>
      <c r="F53" s="59"/>
      <c r="G53" s="45"/>
      <c r="H53" s="60"/>
      <c r="I53" s="59"/>
      <c r="J53" s="47"/>
      <c r="K53" s="61" t="str">
        <f>IF(F53&lt;&gt;"",F53*'🏠 INICIO'!$C$11,"")</f>
        <v/>
      </c>
    </row>
    <row r="54" spans="1:11" ht="15" customHeight="1" x14ac:dyDescent="0.2">
      <c r="A54" s="58"/>
      <c r="B54" s="55">
        <v>50</v>
      </c>
      <c r="C54" s="57"/>
      <c r="D54" s="57"/>
      <c r="E54" s="56"/>
      <c r="F54" s="59"/>
      <c r="G54" s="55"/>
      <c r="H54" s="62"/>
      <c r="I54" s="59"/>
      <c r="J54" s="57"/>
      <c r="K54" s="61" t="str">
        <f>IF(F54&lt;&gt;"",F54*'🏠 INICIO'!$C$11,"")</f>
        <v/>
      </c>
    </row>
    <row r="56" spans="1:11" ht="24" customHeight="1" x14ac:dyDescent="0.2">
      <c r="A56" s="82" t="s">
        <v>136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</row>
    <row r="57" spans="1:11" ht="23.25" customHeight="1" x14ac:dyDescent="0.2">
      <c r="A57" s="105" t="s">
        <v>114</v>
      </c>
      <c r="B57" s="105"/>
      <c r="C57" s="105" t="s">
        <v>115</v>
      </c>
      <c r="D57" s="105"/>
      <c r="E57" s="106" t="s">
        <v>116</v>
      </c>
      <c r="F57" s="106"/>
      <c r="G57" s="107" t="s">
        <v>117</v>
      </c>
      <c r="H57" s="107"/>
      <c r="I57" s="108" t="s">
        <v>118</v>
      </c>
      <c r="J57" s="108"/>
    </row>
    <row r="58" spans="1:11" ht="25.5" customHeight="1" x14ac:dyDescent="0.2">
      <c r="A58" s="98">
        <f>SUM(F5:F54)</f>
        <v>0</v>
      </c>
      <c r="B58" s="98"/>
      <c r="C58" s="99">
        <f>COUNTIF(H5:H54,"PAGADO")</f>
        <v>0</v>
      </c>
      <c r="D58" s="99"/>
      <c r="E58" s="100">
        <f>COUNTIF(H5:H54,"FALTA CANCELAR")</f>
        <v>0</v>
      </c>
      <c r="F58" s="100"/>
      <c r="G58" s="101">
        <f>SUM(I5:I54)</f>
        <v>0</v>
      </c>
      <c r="H58" s="101"/>
      <c r="I58" s="102">
        <f>SUM(K5:K54)</f>
        <v>0</v>
      </c>
      <c r="J58" s="102"/>
    </row>
  </sheetData>
  <mergeCells count="14">
    <mergeCell ref="A1:K1"/>
    <mergeCell ref="A2:K2"/>
    <mergeCell ref="A3:K3"/>
    <mergeCell ref="A56:K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</mergeCells>
  <conditionalFormatting sqref="H5:H54">
    <cfRule type="expression" dxfId="8" priority="2">
      <formula>$H5="PAGADO"</formula>
    </cfRule>
    <cfRule type="expression" dxfId="7" priority="3">
      <formula>$H5="FALTA CANCELAR"</formula>
    </cfRule>
    <cfRule type="expression" dxfId="6" priority="4">
      <formula>$H5="ADELANTO"</formula>
    </cfRule>
  </conditionalFormatting>
  <dataValidations count="4">
    <dataValidation type="list" allowBlank="1" sqref="A5:A54" xr:uid="{00000000-0002-0000-0C00-000000000000}">
      <formula1>"1,2,3,4,5,6,7,8,9,10,11,12,13,14,15,16,17,18,19,20"</formula1>
      <formula2>0</formula2>
    </dataValidation>
    <dataValidation type="list" allowBlank="1" sqref="E5:E54" xr:uid="{00000000-0002-0000-0C00-000001000000}">
      <formula1>"YANBAL,ESIKA,CYZONE,LBEL,NATURA,AVON,FARMASI,ORIFLAME,OTRO"</formula1>
      <formula2>0</formula2>
    </dataValidation>
    <dataValidation type="list" allowBlank="1" sqref="G5:G54" xr:uid="{00000000-0002-0000-0C00-000002000000}">
      <formula1>"YAPE,PLIN,EFECTIVO,TRANSFERENCIA,MIXTO"</formula1>
      <formula2>0</formula2>
    </dataValidation>
    <dataValidation type="list" allowBlank="1" sqref="H5:H54" xr:uid="{00000000-0002-0000-0C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39DDB"/>
    <pageSetUpPr fitToPage="1"/>
  </sheetPr>
  <dimension ref="A1:K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K1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  <col min="11" max="11" width="13" customWidth="1"/>
  </cols>
  <sheetData>
    <row r="1" spans="1:11" ht="27.75" customHeight="1" x14ac:dyDescent="0.2">
      <c r="A1" s="95" t="s">
        <v>137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15" customHeight="1" x14ac:dyDescent="0.2">
      <c r="A2" s="103" t="s">
        <v>99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ht="15" customHeight="1" x14ac:dyDescent="0.2">
      <c r="A3" s="104" t="s">
        <v>100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1" ht="33.75" customHeight="1" x14ac:dyDescent="0.2">
      <c r="A4" s="18" t="s">
        <v>101</v>
      </c>
      <c r="B4" s="15" t="s">
        <v>39</v>
      </c>
      <c r="C4" s="15" t="s">
        <v>102</v>
      </c>
      <c r="D4" s="15" t="s">
        <v>41</v>
      </c>
      <c r="E4" s="15" t="s">
        <v>40</v>
      </c>
      <c r="F4" s="18" t="s">
        <v>103</v>
      </c>
      <c r="G4" s="15" t="s">
        <v>104</v>
      </c>
      <c r="H4" s="15" t="s">
        <v>105</v>
      </c>
      <c r="I4" s="15" t="s">
        <v>106</v>
      </c>
      <c r="J4" s="15" t="s">
        <v>107</v>
      </c>
      <c r="K4" s="15" t="s">
        <v>108</v>
      </c>
    </row>
    <row r="5" spans="1:11" ht="15" customHeight="1" x14ac:dyDescent="0.2">
      <c r="A5" s="58"/>
      <c r="B5" s="45">
        <v>1</v>
      </c>
      <c r="C5" s="47"/>
      <c r="D5" s="47"/>
      <c r="E5" s="46"/>
      <c r="F5" s="59"/>
      <c r="G5" s="45"/>
      <c r="H5" s="60"/>
      <c r="I5" s="59"/>
      <c r="J5" s="47"/>
      <c r="K5" s="61" t="str">
        <f>IF(F5&lt;&gt;"",F5*'🏠 INICIO'!$C$11,"")</f>
        <v/>
      </c>
    </row>
    <row r="6" spans="1:11" ht="15" customHeight="1" x14ac:dyDescent="0.2">
      <c r="A6" s="58"/>
      <c r="B6" s="55">
        <v>2</v>
      </c>
      <c r="C6" s="57"/>
      <c r="D6" s="57"/>
      <c r="E6" s="56"/>
      <c r="F6" s="59"/>
      <c r="G6" s="55"/>
      <c r="H6" s="62"/>
      <c r="I6" s="59"/>
      <c r="J6" s="57"/>
      <c r="K6" s="61" t="str">
        <f>IF(F6&lt;&gt;"",F6*'🏠 INICIO'!$C$11,"")</f>
        <v/>
      </c>
    </row>
    <row r="7" spans="1:11" ht="15" customHeight="1" x14ac:dyDescent="0.2">
      <c r="A7" s="58"/>
      <c r="B7" s="45">
        <v>3</v>
      </c>
      <c r="C7" s="47"/>
      <c r="D7" s="47"/>
      <c r="E7" s="46"/>
      <c r="F7" s="59"/>
      <c r="G7" s="45"/>
      <c r="H7" s="60"/>
      <c r="I7" s="59"/>
      <c r="J7" s="47"/>
      <c r="K7" s="61" t="str">
        <f>IF(F7&lt;&gt;"",F7*'🏠 INICIO'!$C$11,"")</f>
        <v/>
      </c>
    </row>
    <row r="8" spans="1:11" ht="15" customHeight="1" x14ac:dyDescent="0.2">
      <c r="A8" s="58"/>
      <c r="B8" s="55">
        <v>4</v>
      </c>
      <c r="C8" s="57"/>
      <c r="D8" s="57"/>
      <c r="E8" s="56"/>
      <c r="F8" s="59"/>
      <c r="G8" s="55"/>
      <c r="H8" s="62"/>
      <c r="I8" s="59"/>
      <c r="J8" s="57"/>
      <c r="K8" s="61" t="str">
        <f>IF(F8&lt;&gt;"",F8*'🏠 INICIO'!$C$11,"")</f>
        <v/>
      </c>
    </row>
    <row r="9" spans="1:11" ht="15" customHeight="1" x14ac:dyDescent="0.2">
      <c r="A9" s="58"/>
      <c r="B9" s="45">
        <v>5</v>
      </c>
      <c r="C9" s="47"/>
      <c r="D9" s="47"/>
      <c r="E9" s="46"/>
      <c r="F9" s="59"/>
      <c r="G9" s="45"/>
      <c r="H9" s="60"/>
      <c r="I9" s="59"/>
      <c r="J9" s="47"/>
      <c r="K9" s="61" t="str">
        <f>IF(F9&lt;&gt;"",F9*'🏠 INICIO'!$C$11,"")</f>
        <v/>
      </c>
    </row>
    <row r="10" spans="1:11" ht="15" customHeight="1" x14ac:dyDescent="0.2">
      <c r="A10" s="58"/>
      <c r="B10" s="55">
        <v>6</v>
      </c>
      <c r="C10" s="57"/>
      <c r="D10" s="57"/>
      <c r="E10" s="56"/>
      <c r="F10" s="59"/>
      <c r="G10" s="55"/>
      <c r="H10" s="62"/>
      <c r="I10" s="59"/>
      <c r="J10" s="57"/>
      <c r="K10" s="61" t="str">
        <f>IF(F10&lt;&gt;"",F10*'🏠 INICIO'!$C$11,"")</f>
        <v/>
      </c>
    </row>
    <row r="11" spans="1:11" ht="15" customHeight="1" x14ac:dyDescent="0.2">
      <c r="A11" s="58"/>
      <c r="B11" s="45">
        <v>7</v>
      </c>
      <c r="C11" s="47"/>
      <c r="D11" s="47"/>
      <c r="E11" s="46"/>
      <c r="F11" s="59"/>
      <c r="G11" s="45"/>
      <c r="H11" s="60"/>
      <c r="I11" s="59"/>
      <c r="J11" s="47"/>
      <c r="K11" s="61" t="str">
        <f>IF(F11&lt;&gt;"",F11*'🏠 INICIO'!$C$11,"")</f>
        <v/>
      </c>
    </row>
    <row r="12" spans="1:11" ht="15" customHeight="1" x14ac:dyDescent="0.2">
      <c r="A12" s="58"/>
      <c r="B12" s="55">
        <v>8</v>
      </c>
      <c r="C12" s="57"/>
      <c r="D12" s="57"/>
      <c r="E12" s="56"/>
      <c r="F12" s="59"/>
      <c r="G12" s="55"/>
      <c r="H12" s="62"/>
      <c r="I12" s="59"/>
      <c r="J12" s="57"/>
      <c r="K12" s="61" t="str">
        <f>IF(F12&lt;&gt;"",F12*'🏠 INICIO'!$C$11,"")</f>
        <v/>
      </c>
    </row>
    <row r="13" spans="1:11" ht="15" customHeight="1" x14ac:dyDescent="0.2">
      <c r="A13" s="58"/>
      <c r="B13" s="45">
        <v>9</v>
      </c>
      <c r="C13" s="47"/>
      <c r="D13" s="47"/>
      <c r="E13" s="46"/>
      <c r="F13" s="59"/>
      <c r="G13" s="45"/>
      <c r="H13" s="60"/>
      <c r="I13" s="59"/>
      <c r="J13" s="47"/>
      <c r="K13" s="61" t="str">
        <f>IF(F13&lt;&gt;"",F13*'🏠 INICIO'!$C$11,"")</f>
        <v/>
      </c>
    </row>
    <row r="14" spans="1:11" ht="15" customHeight="1" x14ac:dyDescent="0.2">
      <c r="A14" s="58"/>
      <c r="B14" s="55">
        <v>10</v>
      </c>
      <c r="C14" s="57"/>
      <c r="D14" s="57"/>
      <c r="E14" s="56"/>
      <c r="F14" s="59"/>
      <c r="G14" s="55"/>
      <c r="H14" s="62"/>
      <c r="I14" s="59"/>
      <c r="J14" s="57"/>
      <c r="K14" s="61" t="str">
        <f>IF(F14&lt;&gt;"",F14*'🏠 INICIO'!$C$11,"")</f>
        <v/>
      </c>
    </row>
    <row r="15" spans="1:11" ht="15" customHeight="1" x14ac:dyDescent="0.2">
      <c r="A15" s="58"/>
      <c r="B15" s="45">
        <v>11</v>
      </c>
      <c r="C15" s="47"/>
      <c r="D15" s="47"/>
      <c r="E15" s="46"/>
      <c r="F15" s="59"/>
      <c r="G15" s="45"/>
      <c r="H15" s="60"/>
      <c r="I15" s="59"/>
      <c r="J15" s="47"/>
      <c r="K15" s="61" t="str">
        <f>IF(F15&lt;&gt;"",F15*'🏠 INICIO'!$C$11,"")</f>
        <v/>
      </c>
    </row>
    <row r="16" spans="1:11" ht="15" customHeight="1" x14ac:dyDescent="0.2">
      <c r="A16" s="58"/>
      <c r="B16" s="55">
        <v>12</v>
      </c>
      <c r="C16" s="57"/>
      <c r="D16" s="57"/>
      <c r="E16" s="56"/>
      <c r="F16" s="59"/>
      <c r="G16" s="55"/>
      <c r="H16" s="62"/>
      <c r="I16" s="59"/>
      <c r="J16" s="57"/>
      <c r="K16" s="61" t="str">
        <f>IF(F16&lt;&gt;"",F16*'🏠 INICIO'!$C$11,"")</f>
        <v/>
      </c>
    </row>
    <row r="17" spans="1:11" ht="15" customHeight="1" x14ac:dyDescent="0.2">
      <c r="A17" s="58"/>
      <c r="B17" s="45">
        <v>13</v>
      </c>
      <c r="C17" s="47"/>
      <c r="D17" s="47"/>
      <c r="E17" s="46"/>
      <c r="F17" s="59"/>
      <c r="G17" s="45"/>
      <c r="H17" s="60"/>
      <c r="I17" s="59"/>
      <c r="J17" s="47"/>
      <c r="K17" s="61" t="str">
        <f>IF(F17&lt;&gt;"",F17*'🏠 INICIO'!$C$11,"")</f>
        <v/>
      </c>
    </row>
    <row r="18" spans="1:11" ht="15" customHeight="1" x14ac:dyDescent="0.2">
      <c r="A18" s="58"/>
      <c r="B18" s="55">
        <v>14</v>
      </c>
      <c r="C18" s="57"/>
      <c r="D18" s="57"/>
      <c r="E18" s="56"/>
      <c r="F18" s="59"/>
      <c r="G18" s="55"/>
      <c r="H18" s="62"/>
      <c r="I18" s="59"/>
      <c r="J18" s="57"/>
      <c r="K18" s="61" t="str">
        <f>IF(F18&lt;&gt;"",F18*'🏠 INICIO'!$C$11,"")</f>
        <v/>
      </c>
    </row>
    <row r="19" spans="1:11" ht="15" customHeight="1" x14ac:dyDescent="0.2">
      <c r="A19" s="58"/>
      <c r="B19" s="45">
        <v>15</v>
      </c>
      <c r="C19" s="47"/>
      <c r="D19" s="47"/>
      <c r="E19" s="46"/>
      <c r="F19" s="59"/>
      <c r="G19" s="45"/>
      <c r="H19" s="60"/>
      <c r="I19" s="59"/>
      <c r="J19" s="47"/>
      <c r="K19" s="61" t="str">
        <f>IF(F19&lt;&gt;"",F19*'🏠 INICIO'!$C$11,"")</f>
        <v/>
      </c>
    </row>
    <row r="20" spans="1:11" ht="15" customHeight="1" x14ac:dyDescent="0.2">
      <c r="A20" s="58"/>
      <c r="B20" s="55">
        <v>16</v>
      </c>
      <c r="C20" s="57"/>
      <c r="D20" s="57"/>
      <c r="E20" s="56"/>
      <c r="F20" s="59"/>
      <c r="G20" s="55"/>
      <c r="H20" s="62"/>
      <c r="I20" s="59"/>
      <c r="J20" s="57"/>
      <c r="K20" s="61" t="str">
        <f>IF(F20&lt;&gt;"",F20*'🏠 INICIO'!$C$11,"")</f>
        <v/>
      </c>
    </row>
    <row r="21" spans="1:11" ht="15" customHeight="1" x14ac:dyDescent="0.2">
      <c r="A21" s="58"/>
      <c r="B21" s="45">
        <v>17</v>
      </c>
      <c r="C21" s="47"/>
      <c r="D21" s="47"/>
      <c r="E21" s="46"/>
      <c r="F21" s="59"/>
      <c r="G21" s="45"/>
      <c r="H21" s="60"/>
      <c r="I21" s="59"/>
      <c r="J21" s="47"/>
      <c r="K21" s="61" t="str">
        <f>IF(F21&lt;&gt;"",F21*'🏠 INICIO'!$C$11,"")</f>
        <v/>
      </c>
    </row>
    <row r="22" spans="1:11" ht="15" customHeight="1" x14ac:dyDescent="0.2">
      <c r="A22" s="58"/>
      <c r="B22" s="55">
        <v>18</v>
      </c>
      <c r="C22" s="57"/>
      <c r="D22" s="57"/>
      <c r="E22" s="56"/>
      <c r="F22" s="59"/>
      <c r="G22" s="55"/>
      <c r="H22" s="62"/>
      <c r="I22" s="59"/>
      <c r="J22" s="57"/>
      <c r="K22" s="61" t="str">
        <f>IF(F22&lt;&gt;"",F22*'🏠 INICIO'!$C$11,"")</f>
        <v/>
      </c>
    </row>
    <row r="23" spans="1:11" ht="15" customHeight="1" x14ac:dyDescent="0.2">
      <c r="A23" s="58"/>
      <c r="B23" s="45">
        <v>19</v>
      </c>
      <c r="C23" s="47"/>
      <c r="D23" s="47"/>
      <c r="E23" s="46"/>
      <c r="F23" s="59"/>
      <c r="G23" s="45"/>
      <c r="H23" s="60"/>
      <c r="I23" s="59"/>
      <c r="J23" s="47"/>
      <c r="K23" s="61" t="str">
        <f>IF(F23&lt;&gt;"",F23*'🏠 INICIO'!$C$11,"")</f>
        <v/>
      </c>
    </row>
    <row r="24" spans="1:11" ht="15" customHeight="1" x14ac:dyDescent="0.2">
      <c r="A24" s="58"/>
      <c r="B24" s="55">
        <v>20</v>
      </c>
      <c r="C24" s="57"/>
      <c r="D24" s="57"/>
      <c r="E24" s="56"/>
      <c r="F24" s="59"/>
      <c r="G24" s="55"/>
      <c r="H24" s="62"/>
      <c r="I24" s="59"/>
      <c r="J24" s="57"/>
      <c r="K24" s="61" t="str">
        <f>IF(F24&lt;&gt;"",F24*'🏠 INICIO'!$C$11,"")</f>
        <v/>
      </c>
    </row>
    <row r="25" spans="1:11" ht="15" customHeight="1" x14ac:dyDescent="0.2">
      <c r="A25" s="58"/>
      <c r="B25" s="45">
        <v>21</v>
      </c>
      <c r="C25" s="47"/>
      <c r="D25" s="47"/>
      <c r="E25" s="46"/>
      <c r="F25" s="59"/>
      <c r="G25" s="45"/>
      <c r="H25" s="60"/>
      <c r="I25" s="59"/>
      <c r="J25" s="47"/>
      <c r="K25" s="61" t="str">
        <f>IF(F25&lt;&gt;"",F25*'🏠 INICIO'!$C$11,"")</f>
        <v/>
      </c>
    </row>
    <row r="26" spans="1:11" ht="15" customHeight="1" x14ac:dyDescent="0.2">
      <c r="A26" s="58"/>
      <c r="B26" s="55">
        <v>22</v>
      </c>
      <c r="C26" s="57"/>
      <c r="D26" s="57"/>
      <c r="E26" s="56"/>
      <c r="F26" s="59"/>
      <c r="G26" s="55"/>
      <c r="H26" s="62"/>
      <c r="I26" s="59"/>
      <c r="J26" s="57"/>
      <c r="K26" s="61" t="str">
        <f>IF(F26&lt;&gt;"",F26*'🏠 INICIO'!$C$11,"")</f>
        <v/>
      </c>
    </row>
    <row r="27" spans="1:11" ht="15" customHeight="1" x14ac:dyDescent="0.2">
      <c r="A27" s="58"/>
      <c r="B27" s="45">
        <v>23</v>
      </c>
      <c r="C27" s="47"/>
      <c r="D27" s="47"/>
      <c r="E27" s="46"/>
      <c r="F27" s="59"/>
      <c r="G27" s="45"/>
      <c r="H27" s="60"/>
      <c r="I27" s="59"/>
      <c r="J27" s="47"/>
      <c r="K27" s="61" t="str">
        <f>IF(F27&lt;&gt;"",F27*'🏠 INICIO'!$C$11,"")</f>
        <v/>
      </c>
    </row>
    <row r="28" spans="1:11" ht="15" customHeight="1" x14ac:dyDescent="0.2">
      <c r="A28" s="58"/>
      <c r="B28" s="55">
        <v>24</v>
      </c>
      <c r="C28" s="57"/>
      <c r="D28" s="57"/>
      <c r="E28" s="56"/>
      <c r="F28" s="59"/>
      <c r="G28" s="55"/>
      <c r="H28" s="62"/>
      <c r="I28" s="59"/>
      <c r="J28" s="57"/>
      <c r="K28" s="61" t="str">
        <f>IF(F28&lt;&gt;"",F28*'🏠 INICIO'!$C$11,"")</f>
        <v/>
      </c>
    </row>
    <row r="29" spans="1:11" ht="15" customHeight="1" x14ac:dyDescent="0.2">
      <c r="A29" s="58"/>
      <c r="B29" s="45">
        <v>25</v>
      </c>
      <c r="C29" s="47"/>
      <c r="D29" s="47"/>
      <c r="E29" s="46"/>
      <c r="F29" s="59"/>
      <c r="G29" s="45"/>
      <c r="H29" s="60"/>
      <c r="I29" s="59"/>
      <c r="J29" s="47"/>
      <c r="K29" s="61" t="str">
        <f>IF(F29&lt;&gt;"",F29*'🏠 INICIO'!$C$11,"")</f>
        <v/>
      </c>
    </row>
    <row r="30" spans="1:11" ht="15" customHeight="1" x14ac:dyDescent="0.2">
      <c r="A30" s="58"/>
      <c r="B30" s="55">
        <v>26</v>
      </c>
      <c r="C30" s="57"/>
      <c r="D30" s="57"/>
      <c r="E30" s="56"/>
      <c r="F30" s="59"/>
      <c r="G30" s="55"/>
      <c r="H30" s="62"/>
      <c r="I30" s="59"/>
      <c r="J30" s="57"/>
      <c r="K30" s="61" t="str">
        <f>IF(F30&lt;&gt;"",F30*'🏠 INICIO'!$C$11,"")</f>
        <v/>
      </c>
    </row>
    <row r="31" spans="1:11" ht="15" customHeight="1" x14ac:dyDescent="0.2">
      <c r="A31" s="58"/>
      <c r="B31" s="45">
        <v>27</v>
      </c>
      <c r="C31" s="47"/>
      <c r="D31" s="47"/>
      <c r="E31" s="46"/>
      <c r="F31" s="59"/>
      <c r="G31" s="45"/>
      <c r="H31" s="60"/>
      <c r="I31" s="59"/>
      <c r="J31" s="47"/>
      <c r="K31" s="61" t="str">
        <f>IF(F31&lt;&gt;"",F31*'🏠 INICIO'!$C$11,"")</f>
        <v/>
      </c>
    </row>
    <row r="32" spans="1:11" ht="15" customHeight="1" x14ac:dyDescent="0.2">
      <c r="A32" s="58"/>
      <c r="B32" s="55">
        <v>28</v>
      </c>
      <c r="C32" s="57"/>
      <c r="D32" s="57"/>
      <c r="E32" s="56"/>
      <c r="F32" s="59"/>
      <c r="G32" s="55"/>
      <c r="H32" s="62"/>
      <c r="I32" s="59"/>
      <c r="J32" s="57"/>
      <c r="K32" s="61" t="str">
        <f>IF(F32&lt;&gt;"",F32*'🏠 INICIO'!$C$11,"")</f>
        <v/>
      </c>
    </row>
    <row r="33" spans="1:11" ht="15" customHeight="1" x14ac:dyDescent="0.2">
      <c r="A33" s="58"/>
      <c r="B33" s="45">
        <v>29</v>
      </c>
      <c r="C33" s="47"/>
      <c r="D33" s="47"/>
      <c r="E33" s="46"/>
      <c r="F33" s="59"/>
      <c r="G33" s="45"/>
      <c r="H33" s="60"/>
      <c r="I33" s="59"/>
      <c r="J33" s="47"/>
      <c r="K33" s="61" t="str">
        <f>IF(F33&lt;&gt;"",F33*'🏠 INICIO'!$C$11,"")</f>
        <v/>
      </c>
    </row>
    <row r="34" spans="1:11" ht="15" customHeight="1" x14ac:dyDescent="0.2">
      <c r="A34" s="58"/>
      <c r="B34" s="55">
        <v>30</v>
      </c>
      <c r="C34" s="57"/>
      <c r="D34" s="57"/>
      <c r="E34" s="56"/>
      <c r="F34" s="59"/>
      <c r="G34" s="55"/>
      <c r="H34" s="62"/>
      <c r="I34" s="59"/>
      <c r="J34" s="57"/>
      <c r="K34" s="61" t="str">
        <f>IF(F34&lt;&gt;"",F34*'🏠 INICIO'!$C$11,"")</f>
        <v/>
      </c>
    </row>
    <row r="35" spans="1:11" ht="15" customHeight="1" x14ac:dyDescent="0.2">
      <c r="A35" s="58"/>
      <c r="B35" s="45">
        <v>31</v>
      </c>
      <c r="C35" s="47"/>
      <c r="D35" s="47"/>
      <c r="E35" s="46"/>
      <c r="F35" s="59"/>
      <c r="G35" s="45"/>
      <c r="H35" s="60"/>
      <c r="I35" s="59"/>
      <c r="J35" s="47"/>
      <c r="K35" s="61" t="str">
        <f>IF(F35&lt;&gt;"",F35*'🏠 INICIO'!$C$11,"")</f>
        <v/>
      </c>
    </row>
    <row r="36" spans="1:11" ht="15" customHeight="1" x14ac:dyDescent="0.2">
      <c r="A36" s="58"/>
      <c r="B36" s="55">
        <v>32</v>
      </c>
      <c r="C36" s="57"/>
      <c r="D36" s="57"/>
      <c r="E36" s="56"/>
      <c r="F36" s="59"/>
      <c r="G36" s="55"/>
      <c r="H36" s="62"/>
      <c r="I36" s="59"/>
      <c r="J36" s="57"/>
      <c r="K36" s="61" t="str">
        <f>IF(F36&lt;&gt;"",F36*'🏠 INICIO'!$C$11,"")</f>
        <v/>
      </c>
    </row>
    <row r="37" spans="1:11" ht="15" customHeight="1" x14ac:dyDescent="0.2">
      <c r="A37" s="58"/>
      <c r="B37" s="45">
        <v>33</v>
      </c>
      <c r="C37" s="47"/>
      <c r="D37" s="47"/>
      <c r="E37" s="46"/>
      <c r="F37" s="59"/>
      <c r="G37" s="45"/>
      <c r="H37" s="60"/>
      <c r="I37" s="59"/>
      <c r="J37" s="47"/>
      <c r="K37" s="61" t="str">
        <f>IF(F37&lt;&gt;"",F37*'🏠 INICIO'!$C$11,"")</f>
        <v/>
      </c>
    </row>
    <row r="38" spans="1:11" ht="15" customHeight="1" x14ac:dyDescent="0.2">
      <c r="A38" s="58"/>
      <c r="B38" s="55">
        <v>34</v>
      </c>
      <c r="C38" s="57"/>
      <c r="D38" s="57"/>
      <c r="E38" s="56"/>
      <c r="F38" s="59"/>
      <c r="G38" s="55"/>
      <c r="H38" s="62"/>
      <c r="I38" s="59"/>
      <c r="J38" s="57"/>
      <c r="K38" s="61" t="str">
        <f>IF(F38&lt;&gt;"",F38*'🏠 INICIO'!$C$11,"")</f>
        <v/>
      </c>
    </row>
    <row r="39" spans="1:11" ht="15" customHeight="1" x14ac:dyDescent="0.2">
      <c r="A39" s="58"/>
      <c r="B39" s="45">
        <v>35</v>
      </c>
      <c r="C39" s="47"/>
      <c r="D39" s="47"/>
      <c r="E39" s="46"/>
      <c r="F39" s="59"/>
      <c r="G39" s="45"/>
      <c r="H39" s="60"/>
      <c r="I39" s="59"/>
      <c r="J39" s="47"/>
      <c r="K39" s="61" t="str">
        <f>IF(F39&lt;&gt;"",F39*'🏠 INICIO'!$C$11,"")</f>
        <v/>
      </c>
    </row>
    <row r="40" spans="1:11" ht="15" customHeight="1" x14ac:dyDescent="0.2">
      <c r="A40" s="58"/>
      <c r="B40" s="55">
        <v>36</v>
      </c>
      <c r="C40" s="57"/>
      <c r="D40" s="57"/>
      <c r="E40" s="56"/>
      <c r="F40" s="59"/>
      <c r="G40" s="55"/>
      <c r="H40" s="62"/>
      <c r="I40" s="59"/>
      <c r="J40" s="57"/>
      <c r="K40" s="61" t="str">
        <f>IF(F40&lt;&gt;"",F40*'🏠 INICIO'!$C$11,"")</f>
        <v/>
      </c>
    </row>
    <row r="41" spans="1:11" ht="15" customHeight="1" x14ac:dyDescent="0.2">
      <c r="A41" s="58"/>
      <c r="B41" s="45">
        <v>37</v>
      </c>
      <c r="C41" s="47"/>
      <c r="D41" s="47"/>
      <c r="E41" s="46"/>
      <c r="F41" s="59"/>
      <c r="G41" s="45"/>
      <c r="H41" s="60"/>
      <c r="I41" s="59"/>
      <c r="J41" s="47"/>
      <c r="K41" s="61" t="str">
        <f>IF(F41&lt;&gt;"",F41*'🏠 INICIO'!$C$11,"")</f>
        <v/>
      </c>
    </row>
    <row r="42" spans="1:11" ht="15" customHeight="1" x14ac:dyDescent="0.2">
      <c r="A42" s="58"/>
      <c r="B42" s="55">
        <v>38</v>
      </c>
      <c r="C42" s="57"/>
      <c r="D42" s="57"/>
      <c r="E42" s="56"/>
      <c r="F42" s="59"/>
      <c r="G42" s="55"/>
      <c r="H42" s="62"/>
      <c r="I42" s="59"/>
      <c r="J42" s="57"/>
      <c r="K42" s="61" t="str">
        <f>IF(F42&lt;&gt;"",F42*'🏠 INICIO'!$C$11,"")</f>
        <v/>
      </c>
    </row>
    <row r="43" spans="1:11" ht="15" customHeight="1" x14ac:dyDescent="0.2">
      <c r="A43" s="58"/>
      <c r="B43" s="45">
        <v>39</v>
      </c>
      <c r="C43" s="47"/>
      <c r="D43" s="47"/>
      <c r="E43" s="46"/>
      <c r="F43" s="59"/>
      <c r="G43" s="45"/>
      <c r="H43" s="60"/>
      <c r="I43" s="59"/>
      <c r="J43" s="47"/>
      <c r="K43" s="61" t="str">
        <f>IF(F43&lt;&gt;"",F43*'🏠 INICIO'!$C$11,"")</f>
        <v/>
      </c>
    </row>
    <row r="44" spans="1:11" ht="15" customHeight="1" x14ac:dyDescent="0.2">
      <c r="A44" s="58"/>
      <c r="B44" s="55">
        <v>40</v>
      </c>
      <c r="C44" s="57"/>
      <c r="D44" s="57"/>
      <c r="E44" s="56"/>
      <c r="F44" s="59"/>
      <c r="G44" s="55"/>
      <c r="H44" s="62"/>
      <c r="I44" s="59"/>
      <c r="J44" s="57"/>
      <c r="K44" s="61" t="str">
        <f>IF(F44&lt;&gt;"",F44*'🏠 INICIO'!$C$11,"")</f>
        <v/>
      </c>
    </row>
    <row r="45" spans="1:11" ht="15" customHeight="1" x14ac:dyDescent="0.2">
      <c r="A45" s="58"/>
      <c r="B45" s="45">
        <v>41</v>
      </c>
      <c r="C45" s="47"/>
      <c r="D45" s="47"/>
      <c r="E45" s="46"/>
      <c r="F45" s="59"/>
      <c r="G45" s="45"/>
      <c r="H45" s="60"/>
      <c r="I45" s="59"/>
      <c r="J45" s="47"/>
      <c r="K45" s="61" t="str">
        <f>IF(F45&lt;&gt;"",F45*'🏠 INICIO'!$C$11,"")</f>
        <v/>
      </c>
    </row>
    <row r="46" spans="1:11" ht="15" customHeight="1" x14ac:dyDescent="0.2">
      <c r="A46" s="58"/>
      <c r="B46" s="55">
        <v>42</v>
      </c>
      <c r="C46" s="57"/>
      <c r="D46" s="57"/>
      <c r="E46" s="56"/>
      <c r="F46" s="59"/>
      <c r="G46" s="55"/>
      <c r="H46" s="62"/>
      <c r="I46" s="59"/>
      <c r="J46" s="57"/>
      <c r="K46" s="61" t="str">
        <f>IF(F46&lt;&gt;"",F46*'🏠 INICIO'!$C$11,"")</f>
        <v/>
      </c>
    </row>
    <row r="47" spans="1:11" ht="15" customHeight="1" x14ac:dyDescent="0.2">
      <c r="A47" s="58"/>
      <c r="B47" s="45">
        <v>43</v>
      </c>
      <c r="C47" s="47"/>
      <c r="D47" s="47"/>
      <c r="E47" s="46"/>
      <c r="F47" s="59"/>
      <c r="G47" s="45"/>
      <c r="H47" s="60"/>
      <c r="I47" s="59"/>
      <c r="J47" s="47"/>
      <c r="K47" s="61" t="str">
        <f>IF(F47&lt;&gt;"",F47*'🏠 INICIO'!$C$11,"")</f>
        <v/>
      </c>
    </row>
    <row r="48" spans="1:11" ht="15" customHeight="1" x14ac:dyDescent="0.2">
      <c r="A48" s="58"/>
      <c r="B48" s="55">
        <v>44</v>
      </c>
      <c r="C48" s="57"/>
      <c r="D48" s="57"/>
      <c r="E48" s="56"/>
      <c r="F48" s="59"/>
      <c r="G48" s="55"/>
      <c r="H48" s="62"/>
      <c r="I48" s="59"/>
      <c r="J48" s="57"/>
      <c r="K48" s="61" t="str">
        <f>IF(F48&lt;&gt;"",F48*'🏠 INICIO'!$C$11,"")</f>
        <v/>
      </c>
    </row>
    <row r="49" spans="1:11" ht="15" customHeight="1" x14ac:dyDescent="0.2">
      <c r="A49" s="58"/>
      <c r="B49" s="45">
        <v>45</v>
      </c>
      <c r="C49" s="47"/>
      <c r="D49" s="47"/>
      <c r="E49" s="46"/>
      <c r="F49" s="59"/>
      <c r="G49" s="45"/>
      <c r="H49" s="60"/>
      <c r="I49" s="59"/>
      <c r="J49" s="47"/>
      <c r="K49" s="61" t="str">
        <f>IF(F49&lt;&gt;"",F49*'🏠 INICIO'!$C$11,"")</f>
        <v/>
      </c>
    </row>
    <row r="50" spans="1:11" ht="15" customHeight="1" x14ac:dyDescent="0.2">
      <c r="A50" s="58"/>
      <c r="B50" s="55">
        <v>46</v>
      </c>
      <c r="C50" s="57"/>
      <c r="D50" s="57"/>
      <c r="E50" s="56"/>
      <c r="F50" s="59"/>
      <c r="G50" s="55"/>
      <c r="H50" s="62"/>
      <c r="I50" s="59"/>
      <c r="J50" s="57"/>
      <c r="K50" s="61" t="str">
        <f>IF(F50&lt;&gt;"",F50*'🏠 INICIO'!$C$11,"")</f>
        <v/>
      </c>
    </row>
    <row r="51" spans="1:11" ht="15" customHeight="1" x14ac:dyDescent="0.2">
      <c r="A51" s="58"/>
      <c r="B51" s="45">
        <v>47</v>
      </c>
      <c r="C51" s="47"/>
      <c r="D51" s="47"/>
      <c r="E51" s="46"/>
      <c r="F51" s="59"/>
      <c r="G51" s="45"/>
      <c r="H51" s="60"/>
      <c r="I51" s="59"/>
      <c r="J51" s="47"/>
      <c r="K51" s="61" t="str">
        <f>IF(F51&lt;&gt;"",F51*'🏠 INICIO'!$C$11,"")</f>
        <v/>
      </c>
    </row>
    <row r="52" spans="1:11" ht="15" customHeight="1" x14ac:dyDescent="0.2">
      <c r="A52" s="58"/>
      <c r="B52" s="55">
        <v>48</v>
      </c>
      <c r="C52" s="57"/>
      <c r="D52" s="57"/>
      <c r="E52" s="56"/>
      <c r="F52" s="59"/>
      <c r="G52" s="55"/>
      <c r="H52" s="62"/>
      <c r="I52" s="59"/>
      <c r="J52" s="57"/>
      <c r="K52" s="61" t="str">
        <f>IF(F52&lt;&gt;"",F52*'🏠 INICIO'!$C$11,"")</f>
        <v/>
      </c>
    </row>
    <row r="53" spans="1:11" ht="15" customHeight="1" x14ac:dyDescent="0.2">
      <c r="A53" s="58"/>
      <c r="B53" s="45">
        <v>49</v>
      </c>
      <c r="C53" s="47"/>
      <c r="D53" s="47"/>
      <c r="E53" s="46"/>
      <c r="F53" s="59"/>
      <c r="G53" s="45"/>
      <c r="H53" s="60"/>
      <c r="I53" s="59"/>
      <c r="J53" s="47"/>
      <c r="K53" s="61" t="str">
        <f>IF(F53&lt;&gt;"",F53*'🏠 INICIO'!$C$11,"")</f>
        <v/>
      </c>
    </row>
    <row r="54" spans="1:11" ht="15" customHeight="1" x14ac:dyDescent="0.2">
      <c r="A54" s="58"/>
      <c r="B54" s="55">
        <v>50</v>
      </c>
      <c r="C54" s="57"/>
      <c r="D54" s="57"/>
      <c r="E54" s="56"/>
      <c r="F54" s="59"/>
      <c r="G54" s="55"/>
      <c r="H54" s="62"/>
      <c r="I54" s="59"/>
      <c r="J54" s="57"/>
      <c r="K54" s="61" t="str">
        <f>IF(F54&lt;&gt;"",F54*'🏠 INICIO'!$C$11,"")</f>
        <v/>
      </c>
    </row>
    <row r="56" spans="1:11" ht="24" customHeight="1" x14ac:dyDescent="0.2">
      <c r="A56" s="82" t="s">
        <v>138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</row>
    <row r="57" spans="1:11" ht="23.25" customHeight="1" x14ac:dyDescent="0.2">
      <c r="A57" s="105" t="s">
        <v>114</v>
      </c>
      <c r="B57" s="105"/>
      <c r="C57" s="105" t="s">
        <v>115</v>
      </c>
      <c r="D57" s="105"/>
      <c r="E57" s="106" t="s">
        <v>116</v>
      </c>
      <c r="F57" s="106"/>
      <c r="G57" s="107" t="s">
        <v>117</v>
      </c>
      <c r="H57" s="107"/>
      <c r="I57" s="108" t="s">
        <v>118</v>
      </c>
      <c r="J57" s="108"/>
    </row>
    <row r="58" spans="1:11" ht="25.5" customHeight="1" x14ac:dyDescent="0.2">
      <c r="A58" s="98">
        <f>SUM(F5:F54)</f>
        <v>0</v>
      </c>
      <c r="B58" s="98"/>
      <c r="C58" s="99">
        <f>COUNTIF(H5:H54,"PAGADO")</f>
        <v>0</v>
      </c>
      <c r="D58" s="99"/>
      <c r="E58" s="100">
        <f>COUNTIF(H5:H54,"FALTA CANCELAR")</f>
        <v>0</v>
      </c>
      <c r="F58" s="100"/>
      <c r="G58" s="101">
        <f>SUM(I5:I54)</f>
        <v>0</v>
      </c>
      <c r="H58" s="101"/>
      <c r="I58" s="102">
        <f>SUM(K5:K54)</f>
        <v>0</v>
      </c>
      <c r="J58" s="102"/>
    </row>
  </sheetData>
  <mergeCells count="14">
    <mergeCell ref="A1:K1"/>
    <mergeCell ref="A2:K2"/>
    <mergeCell ref="A3:K3"/>
    <mergeCell ref="A56:K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</mergeCells>
  <conditionalFormatting sqref="H5:H54">
    <cfRule type="expression" dxfId="5" priority="2">
      <formula>$H5="PAGADO"</formula>
    </cfRule>
    <cfRule type="expression" dxfId="4" priority="3">
      <formula>$H5="FALTA CANCELAR"</formula>
    </cfRule>
    <cfRule type="expression" dxfId="3" priority="4">
      <formula>$H5="ADELANTO"</formula>
    </cfRule>
  </conditionalFormatting>
  <dataValidations count="4">
    <dataValidation type="list" allowBlank="1" sqref="A5:A54" xr:uid="{00000000-0002-0000-0D00-000000000000}">
      <formula1>"1,2,3,4,5,6,7,8,9,10,11,12,13,14,15,16,17,18,19,20"</formula1>
      <formula2>0</formula2>
    </dataValidation>
    <dataValidation type="list" allowBlank="1" sqref="E5:E54" xr:uid="{00000000-0002-0000-0D00-000001000000}">
      <formula1>"YANBAL,ESIKA,CYZONE,LBEL,NATURA,AVON,FARMASI,ORIFLAME,OTRO"</formula1>
      <formula2>0</formula2>
    </dataValidation>
    <dataValidation type="list" allowBlank="1" sqref="G5:G54" xr:uid="{00000000-0002-0000-0D00-000002000000}">
      <formula1>"YAPE,PLIN,EFECTIVO,TRANSFERENCIA,MIXTO"</formula1>
      <formula2>0</formula2>
    </dataValidation>
    <dataValidation type="list" allowBlank="1" sqref="H5:H54" xr:uid="{00000000-0002-0000-0D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B39DDB"/>
    <pageSetUpPr fitToPage="1"/>
  </sheetPr>
  <dimension ref="A1:K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K1"/>
    </sheetView>
  </sheetViews>
  <sheetFormatPr baseColWidth="10" defaultColWidth="8.6640625" defaultRowHeight="15" x14ac:dyDescent="0.2"/>
  <cols>
    <col min="1" max="1" width="11" customWidth="1"/>
    <col min="2" max="2" width="5" customWidth="1"/>
    <col min="3" max="3" width="20" customWidth="1"/>
    <col min="4" max="4" width="30" customWidth="1"/>
    <col min="5" max="5" width="14" customWidth="1"/>
    <col min="6" max="6" width="12" customWidth="1"/>
    <col min="7" max="7" width="15" customWidth="1"/>
    <col min="8" max="8" width="16" customWidth="1"/>
    <col min="9" max="9" width="12" customWidth="1"/>
    <col min="10" max="10" width="26" customWidth="1"/>
    <col min="11" max="11" width="13" customWidth="1"/>
  </cols>
  <sheetData>
    <row r="1" spans="1:11" ht="27.75" customHeight="1" x14ac:dyDescent="0.2">
      <c r="A1" s="95" t="s">
        <v>139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ht="15" customHeight="1" x14ac:dyDescent="0.2">
      <c r="A2" s="103" t="s">
        <v>99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ht="15" customHeight="1" x14ac:dyDescent="0.2">
      <c r="A3" s="104" t="s">
        <v>100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</row>
    <row r="4" spans="1:11" ht="33.75" customHeight="1" x14ac:dyDescent="0.2">
      <c r="A4" s="18" t="s">
        <v>101</v>
      </c>
      <c r="B4" s="15" t="s">
        <v>39</v>
      </c>
      <c r="C4" s="15" t="s">
        <v>102</v>
      </c>
      <c r="D4" s="15" t="s">
        <v>41</v>
      </c>
      <c r="E4" s="15" t="s">
        <v>40</v>
      </c>
      <c r="F4" s="18" t="s">
        <v>103</v>
      </c>
      <c r="G4" s="15" t="s">
        <v>104</v>
      </c>
      <c r="H4" s="15" t="s">
        <v>105</v>
      </c>
      <c r="I4" s="15" t="s">
        <v>106</v>
      </c>
      <c r="J4" s="15" t="s">
        <v>107</v>
      </c>
      <c r="K4" s="15" t="s">
        <v>108</v>
      </c>
    </row>
    <row r="5" spans="1:11" ht="15" customHeight="1" x14ac:dyDescent="0.2">
      <c r="A5" s="58"/>
      <c r="B5" s="45">
        <v>1</v>
      </c>
      <c r="C5" s="47"/>
      <c r="D5" s="47"/>
      <c r="E5" s="46"/>
      <c r="F5" s="59"/>
      <c r="G5" s="45"/>
      <c r="H5" s="60"/>
      <c r="I5" s="59"/>
      <c r="J5" s="47"/>
      <c r="K5" s="61" t="str">
        <f>IF(F5&lt;&gt;"",F5*'🏠 INICIO'!$C$11,"")</f>
        <v/>
      </c>
    </row>
    <row r="6" spans="1:11" ht="15" customHeight="1" x14ac:dyDescent="0.2">
      <c r="A6" s="58"/>
      <c r="B6" s="55">
        <v>2</v>
      </c>
      <c r="C6" s="57"/>
      <c r="D6" s="57"/>
      <c r="E6" s="56"/>
      <c r="F6" s="59"/>
      <c r="G6" s="55"/>
      <c r="H6" s="62"/>
      <c r="I6" s="59"/>
      <c r="J6" s="57"/>
      <c r="K6" s="61" t="str">
        <f>IF(F6&lt;&gt;"",F6*'🏠 INICIO'!$C$11,"")</f>
        <v/>
      </c>
    </row>
    <row r="7" spans="1:11" ht="15" customHeight="1" x14ac:dyDescent="0.2">
      <c r="A7" s="58"/>
      <c r="B7" s="45">
        <v>3</v>
      </c>
      <c r="C7" s="47"/>
      <c r="D7" s="47"/>
      <c r="E7" s="46"/>
      <c r="F7" s="59"/>
      <c r="G7" s="45"/>
      <c r="H7" s="60"/>
      <c r="I7" s="59"/>
      <c r="J7" s="47"/>
      <c r="K7" s="61" t="str">
        <f>IF(F7&lt;&gt;"",F7*'🏠 INICIO'!$C$11,"")</f>
        <v/>
      </c>
    </row>
    <row r="8" spans="1:11" ht="15" customHeight="1" x14ac:dyDescent="0.2">
      <c r="A8" s="58"/>
      <c r="B8" s="55">
        <v>4</v>
      </c>
      <c r="C8" s="57"/>
      <c r="D8" s="57"/>
      <c r="E8" s="56"/>
      <c r="F8" s="59"/>
      <c r="G8" s="55"/>
      <c r="H8" s="62"/>
      <c r="I8" s="59"/>
      <c r="J8" s="57"/>
      <c r="K8" s="61" t="str">
        <f>IF(F8&lt;&gt;"",F8*'🏠 INICIO'!$C$11,"")</f>
        <v/>
      </c>
    </row>
    <row r="9" spans="1:11" ht="15" customHeight="1" x14ac:dyDescent="0.2">
      <c r="A9" s="58"/>
      <c r="B9" s="45">
        <v>5</v>
      </c>
      <c r="C9" s="47"/>
      <c r="D9" s="47"/>
      <c r="E9" s="46"/>
      <c r="F9" s="59"/>
      <c r="G9" s="45"/>
      <c r="H9" s="60"/>
      <c r="I9" s="59"/>
      <c r="J9" s="47"/>
      <c r="K9" s="61" t="str">
        <f>IF(F9&lt;&gt;"",F9*'🏠 INICIO'!$C$11,"")</f>
        <v/>
      </c>
    </row>
    <row r="10" spans="1:11" ht="15" customHeight="1" x14ac:dyDescent="0.2">
      <c r="A10" s="58"/>
      <c r="B10" s="55">
        <v>6</v>
      </c>
      <c r="C10" s="57"/>
      <c r="D10" s="57"/>
      <c r="E10" s="56"/>
      <c r="F10" s="59"/>
      <c r="G10" s="55"/>
      <c r="H10" s="62"/>
      <c r="I10" s="59"/>
      <c r="J10" s="57"/>
      <c r="K10" s="61" t="str">
        <f>IF(F10&lt;&gt;"",F10*'🏠 INICIO'!$C$11,"")</f>
        <v/>
      </c>
    </row>
    <row r="11" spans="1:11" ht="15" customHeight="1" x14ac:dyDescent="0.2">
      <c r="A11" s="58"/>
      <c r="B11" s="45">
        <v>7</v>
      </c>
      <c r="C11" s="47"/>
      <c r="D11" s="47"/>
      <c r="E11" s="46"/>
      <c r="F11" s="59"/>
      <c r="G11" s="45"/>
      <c r="H11" s="60"/>
      <c r="I11" s="59"/>
      <c r="J11" s="47"/>
      <c r="K11" s="61" t="str">
        <f>IF(F11&lt;&gt;"",F11*'🏠 INICIO'!$C$11,"")</f>
        <v/>
      </c>
    </row>
    <row r="12" spans="1:11" ht="15" customHeight="1" x14ac:dyDescent="0.2">
      <c r="A12" s="58"/>
      <c r="B12" s="55">
        <v>8</v>
      </c>
      <c r="C12" s="57"/>
      <c r="D12" s="57"/>
      <c r="E12" s="56"/>
      <c r="F12" s="59"/>
      <c r="G12" s="55"/>
      <c r="H12" s="62"/>
      <c r="I12" s="59"/>
      <c r="J12" s="57"/>
      <c r="K12" s="61" t="str">
        <f>IF(F12&lt;&gt;"",F12*'🏠 INICIO'!$C$11,"")</f>
        <v/>
      </c>
    </row>
    <row r="13" spans="1:11" ht="15" customHeight="1" x14ac:dyDescent="0.2">
      <c r="A13" s="58"/>
      <c r="B13" s="45">
        <v>9</v>
      </c>
      <c r="C13" s="47"/>
      <c r="D13" s="47"/>
      <c r="E13" s="46"/>
      <c r="F13" s="59"/>
      <c r="G13" s="45"/>
      <c r="H13" s="60"/>
      <c r="I13" s="59"/>
      <c r="J13" s="47"/>
      <c r="K13" s="61" t="str">
        <f>IF(F13&lt;&gt;"",F13*'🏠 INICIO'!$C$11,"")</f>
        <v/>
      </c>
    </row>
    <row r="14" spans="1:11" ht="15" customHeight="1" x14ac:dyDescent="0.2">
      <c r="A14" s="58"/>
      <c r="B14" s="55">
        <v>10</v>
      </c>
      <c r="C14" s="57"/>
      <c r="D14" s="57"/>
      <c r="E14" s="56"/>
      <c r="F14" s="59"/>
      <c r="G14" s="55"/>
      <c r="H14" s="62"/>
      <c r="I14" s="59"/>
      <c r="J14" s="57"/>
      <c r="K14" s="61" t="str">
        <f>IF(F14&lt;&gt;"",F14*'🏠 INICIO'!$C$11,"")</f>
        <v/>
      </c>
    </row>
    <row r="15" spans="1:11" ht="15" customHeight="1" x14ac:dyDescent="0.2">
      <c r="A15" s="58"/>
      <c r="B15" s="45">
        <v>11</v>
      </c>
      <c r="C15" s="47"/>
      <c r="D15" s="47"/>
      <c r="E15" s="46"/>
      <c r="F15" s="59"/>
      <c r="G15" s="45"/>
      <c r="H15" s="60"/>
      <c r="I15" s="59"/>
      <c r="J15" s="47"/>
      <c r="K15" s="61" t="str">
        <f>IF(F15&lt;&gt;"",F15*'🏠 INICIO'!$C$11,"")</f>
        <v/>
      </c>
    </row>
    <row r="16" spans="1:11" ht="15" customHeight="1" x14ac:dyDescent="0.2">
      <c r="A16" s="58"/>
      <c r="B16" s="55">
        <v>12</v>
      </c>
      <c r="C16" s="57"/>
      <c r="D16" s="57"/>
      <c r="E16" s="56"/>
      <c r="F16" s="59"/>
      <c r="G16" s="55"/>
      <c r="H16" s="62"/>
      <c r="I16" s="59"/>
      <c r="J16" s="57"/>
      <c r="K16" s="61" t="str">
        <f>IF(F16&lt;&gt;"",F16*'🏠 INICIO'!$C$11,"")</f>
        <v/>
      </c>
    </row>
    <row r="17" spans="1:11" ht="15" customHeight="1" x14ac:dyDescent="0.2">
      <c r="A17" s="58"/>
      <c r="B17" s="45">
        <v>13</v>
      </c>
      <c r="C17" s="47"/>
      <c r="D17" s="47"/>
      <c r="E17" s="46"/>
      <c r="F17" s="59"/>
      <c r="G17" s="45"/>
      <c r="H17" s="60"/>
      <c r="I17" s="59"/>
      <c r="J17" s="47"/>
      <c r="K17" s="61" t="str">
        <f>IF(F17&lt;&gt;"",F17*'🏠 INICIO'!$C$11,"")</f>
        <v/>
      </c>
    </row>
    <row r="18" spans="1:11" ht="15" customHeight="1" x14ac:dyDescent="0.2">
      <c r="A18" s="58"/>
      <c r="B18" s="55">
        <v>14</v>
      </c>
      <c r="C18" s="57"/>
      <c r="D18" s="57"/>
      <c r="E18" s="56"/>
      <c r="F18" s="59"/>
      <c r="G18" s="55"/>
      <c r="H18" s="62"/>
      <c r="I18" s="59"/>
      <c r="J18" s="57"/>
      <c r="K18" s="61" t="str">
        <f>IF(F18&lt;&gt;"",F18*'🏠 INICIO'!$C$11,"")</f>
        <v/>
      </c>
    </row>
    <row r="19" spans="1:11" ht="15" customHeight="1" x14ac:dyDescent="0.2">
      <c r="A19" s="58"/>
      <c r="B19" s="45">
        <v>15</v>
      </c>
      <c r="C19" s="47"/>
      <c r="D19" s="47"/>
      <c r="E19" s="46"/>
      <c r="F19" s="59"/>
      <c r="G19" s="45"/>
      <c r="H19" s="60"/>
      <c r="I19" s="59"/>
      <c r="J19" s="47"/>
      <c r="K19" s="61" t="str">
        <f>IF(F19&lt;&gt;"",F19*'🏠 INICIO'!$C$11,"")</f>
        <v/>
      </c>
    </row>
    <row r="20" spans="1:11" ht="15" customHeight="1" x14ac:dyDescent="0.2">
      <c r="A20" s="58"/>
      <c r="B20" s="55">
        <v>16</v>
      </c>
      <c r="C20" s="57"/>
      <c r="D20" s="57"/>
      <c r="E20" s="56"/>
      <c r="F20" s="59"/>
      <c r="G20" s="55"/>
      <c r="H20" s="62"/>
      <c r="I20" s="59"/>
      <c r="J20" s="57"/>
      <c r="K20" s="61" t="str">
        <f>IF(F20&lt;&gt;"",F20*'🏠 INICIO'!$C$11,"")</f>
        <v/>
      </c>
    </row>
    <row r="21" spans="1:11" ht="15" customHeight="1" x14ac:dyDescent="0.2">
      <c r="A21" s="58"/>
      <c r="B21" s="45">
        <v>17</v>
      </c>
      <c r="C21" s="47"/>
      <c r="D21" s="47"/>
      <c r="E21" s="46"/>
      <c r="F21" s="59"/>
      <c r="G21" s="45"/>
      <c r="H21" s="60"/>
      <c r="I21" s="59"/>
      <c r="J21" s="47"/>
      <c r="K21" s="61" t="str">
        <f>IF(F21&lt;&gt;"",F21*'🏠 INICIO'!$C$11,"")</f>
        <v/>
      </c>
    </row>
    <row r="22" spans="1:11" ht="15" customHeight="1" x14ac:dyDescent="0.2">
      <c r="A22" s="58"/>
      <c r="B22" s="55">
        <v>18</v>
      </c>
      <c r="C22" s="57"/>
      <c r="D22" s="57"/>
      <c r="E22" s="56"/>
      <c r="F22" s="59"/>
      <c r="G22" s="55"/>
      <c r="H22" s="62"/>
      <c r="I22" s="59"/>
      <c r="J22" s="57"/>
      <c r="K22" s="61" t="str">
        <f>IF(F22&lt;&gt;"",F22*'🏠 INICIO'!$C$11,"")</f>
        <v/>
      </c>
    </row>
    <row r="23" spans="1:11" ht="15" customHeight="1" x14ac:dyDescent="0.2">
      <c r="A23" s="58"/>
      <c r="B23" s="45">
        <v>19</v>
      </c>
      <c r="C23" s="47"/>
      <c r="D23" s="47"/>
      <c r="E23" s="46"/>
      <c r="F23" s="59"/>
      <c r="G23" s="45"/>
      <c r="H23" s="60"/>
      <c r="I23" s="59"/>
      <c r="J23" s="47"/>
      <c r="K23" s="61" t="str">
        <f>IF(F23&lt;&gt;"",F23*'🏠 INICIO'!$C$11,"")</f>
        <v/>
      </c>
    </row>
    <row r="24" spans="1:11" ht="15" customHeight="1" x14ac:dyDescent="0.2">
      <c r="A24" s="58"/>
      <c r="B24" s="55">
        <v>20</v>
      </c>
      <c r="C24" s="57"/>
      <c r="D24" s="57"/>
      <c r="E24" s="56"/>
      <c r="F24" s="59"/>
      <c r="G24" s="55"/>
      <c r="H24" s="62"/>
      <c r="I24" s="59"/>
      <c r="J24" s="57"/>
      <c r="K24" s="61" t="str">
        <f>IF(F24&lt;&gt;"",F24*'🏠 INICIO'!$C$11,"")</f>
        <v/>
      </c>
    </row>
    <row r="25" spans="1:11" ht="15" customHeight="1" x14ac:dyDescent="0.2">
      <c r="A25" s="58"/>
      <c r="B25" s="45">
        <v>21</v>
      </c>
      <c r="C25" s="47"/>
      <c r="D25" s="47"/>
      <c r="E25" s="46"/>
      <c r="F25" s="59"/>
      <c r="G25" s="45"/>
      <c r="H25" s="60"/>
      <c r="I25" s="59"/>
      <c r="J25" s="47"/>
      <c r="K25" s="61" t="str">
        <f>IF(F25&lt;&gt;"",F25*'🏠 INICIO'!$C$11,"")</f>
        <v/>
      </c>
    </row>
    <row r="26" spans="1:11" ht="15" customHeight="1" x14ac:dyDescent="0.2">
      <c r="A26" s="58"/>
      <c r="B26" s="55">
        <v>22</v>
      </c>
      <c r="C26" s="57"/>
      <c r="D26" s="57"/>
      <c r="E26" s="56"/>
      <c r="F26" s="59"/>
      <c r="G26" s="55"/>
      <c r="H26" s="62"/>
      <c r="I26" s="59"/>
      <c r="J26" s="57"/>
      <c r="K26" s="61" t="str">
        <f>IF(F26&lt;&gt;"",F26*'🏠 INICIO'!$C$11,"")</f>
        <v/>
      </c>
    </row>
    <row r="27" spans="1:11" ht="15" customHeight="1" x14ac:dyDescent="0.2">
      <c r="A27" s="58"/>
      <c r="B27" s="45">
        <v>23</v>
      </c>
      <c r="C27" s="47"/>
      <c r="D27" s="47"/>
      <c r="E27" s="46"/>
      <c r="F27" s="59"/>
      <c r="G27" s="45"/>
      <c r="H27" s="60"/>
      <c r="I27" s="59"/>
      <c r="J27" s="47"/>
      <c r="K27" s="61" t="str">
        <f>IF(F27&lt;&gt;"",F27*'🏠 INICIO'!$C$11,"")</f>
        <v/>
      </c>
    </row>
    <row r="28" spans="1:11" ht="15" customHeight="1" x14ac:dyDescent="0.2">
      <c r="A28" s="58"/>
      <c r="B28" s="55">
        <v>24</v>
      </c>
      <c r="C28" s="57"/>
      <c r="D28" s="57"/>
      <c r="E28" s="56"/>
      <c r="F28" s="59"/>
      <c r="G28" s="55"/>
      <c r="H28" s="62"/>
      <c r="I28" s="59"/>
      <c r="J28" s="57"/>
      <c r="K28" s="61" t="str">
        <f>IF(F28&lt;&gt;"",F28*'🏠 INICIO'!$C$11,"")</f>
        <v/>
      </c>
    </row>
    <row r="29" spans="1:11" ht="15" customHeight="1" x14ac:dyDescent="0.2">
      <c r="A29" s="58"/>
      <c r="B29" s="45">
        <v>25</v>
      </c>
      <c r="C29" s="47"/>
      <c r="D29" s="47"/>
      <c r="E29" s="46"/>
      <c r="F29" s="59"/>
      <c r="G29" s="45"/>
      <c r="H29" s="60"/>
      <c r="I29" s="59"/>
      <c r="J29" s="47"/>
      <c r="K29" s="61" t="str">
        <f>IF(F29&lt;&gt;"",F29*'🏠 INICIO'!$C$11,"")</f>
        <v/>
      </c>
    </row>
    <row r="30" spans="1:11" ht="15" customHeight="1" x14ac:dyDescent="0.2">
      <c r="A30" s="58"/>
      <c r="B30" s="55">
        <v>26</v>
      </c>
      <c r="C30" s="57"/>
      <c r="D30" s="57"/>
      <c r="E30" s="56"/>
      <c r="F30" s="59"/>
      <c r="G30" s="55"/>
      <c r="H30" s="62"/>
      <c r="I30" s="59"/>
      <c r="J30" s="57"/>
      <c r="K30" s="61" t="str">
        <f>IF(F30&lt;&gt;"",F30*'🏠 INICIO'!$C$11,"")</f>
        <v/>
      </c>
    </row>
    <row r="31" spans="1:11" ht="15" customHeight="1" x14ac:dyDescent="0.2">
      <c r="A31" s="58"/>
      <c r="B31" s="45">
        <v>27</v>
      </c>
      <c r="C31" s="47"/>
      <c r="D31" s="47"/>
      <c r="E31" s="46"/>
      <c r="F31" s="59"/>
      <c r="G31" s="45"/>
      <c r="H31" s="60"/>
      <c r="I31" s="59"/>
      <c r="J31" s="47"/>
      <c r="K31" s="61" t="str">
        <f>IF(F31&lt;&gt;"",F31*'🏠 INICIO'!$C$11,"")</f>
        <v/>
      </c>
    </row>
    <row r="32" spans="1:11" ht="15" customHeight="1" x14ac:dyDescent="0.2">
      <c r="A32" s="58"/>
      <c r="B32" s="55">
        <v>28</v>
      </c>
      <c r="C32" s="57"/>
      <c r="D32" s="57"/>
      <c r="E32" s="56"/>
      <c r="F32" s="59"/>
      <c r="G32" s="55"/>
      <c r="H32" s="62"/>
      <c r="I32" s="59"/>
      <c r="J32" s="57"/>
      <c r="K32" s="61" t="str">
        <f>IF(F32&lt;&gt;"",F32*'🏠 INICIO'!$C$11,"")</f>
        <v/>
      </c>
    </row>
    <row r="33" spans="1:11" ht="15" customHeight="1" x14ac:dyDescent="0.2">
      <c r="A33" s="58"/>
      <c r="B33" s="45">
        <v>29</v>
      </c>
      <c r="C33" s="47"/>
      <c r="D33" s="47"/>
      <c r="E33" s="46"/>
      <c r="F33" s="59"/>
      <c r="G33" s="45"/>
      <c r="H33" s="60"/>
      <c r="I33" s="59"/>
      <c r="J33" s="47"/>
      <c r="K33" s="61" t="str">
        <f>IF(F33&lt;&gt;"",F33*'🏠 INICIO'!$C$11,"")</f>
        <v/>
      </c>
    </row>
    <row r="34" spans="1:11" ht="15" customHeight="1" x14ac:dyDescent="0.2">
      <c r="A34" s="58"/>
      <c r="B34" s="55">
        <v>30</v>
      </c>
      <c r="C34" s="57"/>
      <c r="D34" s="57"/>
      <c r="E34" s="56"/>
      <c r="F34" s="59"/>
      <c r="G34" s="55"/>
      <c r="H34" s="62"/>
      <c r="I34" s="59"/>
      <c r="J34" s="57"/>
      <c r="K34" s="61" t="str">
        <f>IF(F34&lt;&gt;"",F34*'🏠 INICIO'!$C$11,"")</f>
        <v/>
      </c>
    </row>
    <row r="35" spans="1:11" ht="15" customHeight="1" x14ac:dyDescent="0.2">
      <c r="A35" s="58"/>
      <c r="B35" s="45">
        <v>31</v>
      </c>
      <c r="C35" s="47"/>
      <c r="D35" s="47"/>
      <c r="E35" s="46"/>
      <c r="F35" s="59"/>
      <c r="G35" s="45"/>
      <c r="H35" s="60"/>
      <c r="I35" s="59"/>
      <c r="J35" s="47"/>
      <c r="K35" s="61" t="str">
        <f>IF(F35&lt;&gt;"",F35*'🏠 INICIO'!$C$11,"")</f>
        <v/>
      </c>
    </row>
    <row r="36" spans="1:11" ht="15" customHeight="1" x14ac:dyDescent="0.2">
      <c r="A36" s="58"/>
      <c r="B36" s="55">
        <v>32</v>
      </c>
      <c r="C36" s="57"/>
      <c r="D36" s="57"/>
      <c r="E36" s="56"/>
      <c r="F36" s="59"/>
      <c r="G36" s="55"/>
      <c r="H36" s="62"/>
      <c r="I36" s="59"/>
      <c r="J36" s="57"/>
      <c r="K36" s="61" t="str">
        <f>IF(F36&lt;&gt;"",F36*'🏠 INICIO'!$C$11,"")</f>
        <v/>
      </c>
    </row>
    <row r="37" spans="1:11" ht="15" customHeight="1" x14ac:dyDescent="0.2">
      <c r="A37" s="58"/>
      <c r="B37" s="45">
        <v>33</v>
      </c>
      <c r="C37" s="47"/>
      <c r="D37" s="47"/>
      <c r="E37" s="46"/>
      <c r="F37" s="59"/>
      <c r="G37" s="45"/>
      <c r="H37" s="60"/>
      <c r="I37" s="59"/>
      <c r="J37" s="47"/>
      <c r="K37" s="61" t="str">
        <f>IF(F37&lt;&gt;"",F37*'🏠 INICIO'!$C$11,"")</f>
        <v/>
      </c>
    </row>
    <row r="38" spans="1:11" ht="15" customHeight="1" x14ac:dyDescent="0.2">
      <c r="A38" s="58"/>
      <c r="B38" s="55">
        <v>34</v>
      </c>
      <c r="C38" s="57"/>
      <c r="D38" s="57"/>
      <c r="E38" s="56"/>
      <c r="F38" s="59"/>
      <c r="G38" s="55"/>
      <c r="H38" s="62"/>
      <c r="I38" s="59"/>
      <c r="J38" s="57"/>
      <c r="K38" s="61" t="str">
        <f>IF(F38&lt;&gt;"",F38*'🏠 INICIO'!$C$11,"")</f>
        <v/>
      </c>
    </row>
    <row r="39" spans="1:11" ht="15" customHeight="1" x14ac:dyDescent="0.2">
      <c r="A39" s="58"/>
      <c r="B39" s="45">
        <v>35</v>
      </c>
      <c r="C39" s="47"/>
      <c r="D39" s="47"/>
      <c r="E39" s="46"/>
      <c r="F39" s="59"/>
      <c r="G39" s="45"/>
      <c r="H39" s="60"/>
      <c r="I39" s="59"/>
      <c r="J39" s="47"/>
      <c r="K39" s="61" t="str">
        <f>IF(F39&lt;&gt;"",F39*'🏠 INICIO'!$C$11,"")</f>
        <v/>
      </c>
    </row>
    <row r="40" spans="1:11" ht="15" customHeight="1" x14ac:dyDescent="0.2">
      <c r="A40" s="58"/>
      <c r="B40" s="55">
        <v>36</v>
      </c>
      <c r="C40" s="57"/>
      <c r="D40" s="57"/>
      <c r="E40" s="56"/>
      <c r="F40" s="59"/>
      <c r="G40" s="55"/>
      <c r="H40" s="62"/>
      <c r="I40" s="59"/>
      <c r="J40" s="57"/>
      <c r="K40" s="61" t="str">
        <f>IF(F40&lt;&gt;"",F40*'🏠 INICIO'!$C$11,"")</f>
        <v/>
      </c>
    </row>
    <row r="41" spans="1:11" ht="15" customHeight="1" x14ac:dyDescent="0.2">
      <c r="A41" s="58"/>
      <c r="B41" s="45">
        <v>37</v>
      </c>
      <c r="C41" s="47"/>
      <c r="D41" s="47"/>
      <c r="E41" s="46"/>
      <c r="F41" s="59"/>
      <c r="G41" s="45"/>
      <c r="H41" s="60"/>
      <c r="I41" s="59"/>
      <c r="J41" s="47"/>
      <c r="K41" s="61" t="str">
        <f>IF(F41&lt;&gt;"",F41*'🏠 INICIO'!$C$11,"")</f>
        <v/>
      </c>
    </row>
    <row r="42" spans="1:11" ht="15" customHeight="1" x14ac:dyDescent="0.2">
      <c r="A42" s="58"/>
      <c r="B42" s="55">
        <v>38</v>
      </c>
      <c r="C42" s="57"/>
      <c r="D42" s="57"/>
      <c r="E42" s="56"/>
      <c r="F42" s="59"/>
      <c r="G42" s="55"/>
      <c r="H42" s="62"/>
      <c r="I42" s="59"/>
      <c r="J42" s="57"/>
      <c r="K42" s="61" t="str">
        <f>IF(F42&lt;&gt;"",F42*'🏠 INICIO'!$C$11,"")</f>
        <v/>
      </c>
    </row>
    <row r="43" spans="1:11" ht="15" customHeight="1" x14ac:dyDescent="0.2">
      <c r="A43" s="58"/>
      <c r="B43" s="45">
        <v>39</v>
      </c>
      <c r="C43" s="47"/>
      <c r="D43" s="47"/>
      <c r="E43" s="46"/>
      <c r="F43" s="59"/>
      <c r="G43" s="45"/>
      <c r="H43" s="60"/>
      <c r="I43" s="59"/>
      <c r="J43" s="47"/>
      <c r="K43" s="61" t="str">
        <f>IF(F43&lt;&gt;"",F43*'🏠 INICIO'!$C$11,"")</f>
        <v/>
      </c>
    </row>
    <row r="44" spans="1:11" ht="15" customHeight="1" x14ac:dyDescent="0.2">
      <c r="A44" s="58"/>
      <c r="B44" s="55">
        <v>40</v>
      </c>
      <c r="C44" s="57"/>
      <c r="D44" s="57"/>
      <c r="E44" s="56"/>
      <c r="F44" s="59"/>
      <c r="G44" s="55"/>
      <c r="H44" s="62"/>
      <c r="I44" s="59"/>
      <c r="J44" s="57"/>
      <c r="K44" s="61" t="str">
        <f>IF(F44&lt;&gt;"",F44*'🏠 INICIO'!$C$11,"")</f>
        <v/>
      </c>
    </row>
    <row r="45" spans="1:11" ht="15" customHeight="1" x14ac:dyDescent="0.2">
      <c r="A45" s="58"/>
      <c r="B45" s="45">
        <v>41</v>
      </c>
      <c r="C45" s="47"/>
      <c r="D45" s="47"/>
      <c r="E45" s="46"/>
      <c r="F45" s="59"/>
      <c r="G45" s="45"/>
      <c r="H45" s="60"/>
      <c r="I45" s="59"/>
      <c r="J45" s="47"/>
      <c r="K45" s="61" t="str">
        <f>IF(F45&lt;&gt;"",F45*'🏠 INICIO'!$C$11,"")</f>
        <v/>
      </c>
    </row>
    <row r="46" spans="1:11" ht="15" customHeight="1" x14ac:dyDescent="0.2">
      <c r="A46" s="58"/>
      <c r="B46" s="55">
        <v>42</v>
      </c>
      <c r="C46" s="57"/>
      <c r="D46" s="57"/>
      <c r="E46" s="56"/>
      <c r="F46" s="59"/>
      <c r="G46" s="55"/>
      <c r="H46" s="62"/>
      <c r="I46" s="59"/>
      <c r="J46" s="57"/>
      <c r="K46" s="61" t="str">
        <f>IF(F46&lt;&gt;"",F46*'🏠 INICIO'!$C$11,"")</f>
        <v/>
      </c>
    </row>
    <row r="47" spans="1:11" ht="15" customHeight="1" x14ac:dyDescent="0.2">
      <c r="A47" s="58"/>
      <c r="B47" s="45">
        <v>43</v>
      </c>
      <c r="C47" s="47"/>
      <c r="D47" s="47"/>
      <c r="E47" s="46"/>
      <c r="F47" s="59"/>
      <c r="G47" s="45"/>
      <c r="H47" s="60"/>
      <c r="I47" s="59"/>
      <c r="J47" s="47"/>
      <c r="K47" s="61" t="str">
        <f>IF(F47&lt;&gt;"",F47*'🏠 INICIO'!$C$11,"")</f>
        <v/>
      </c>
    </row>
    <row r="48" spans="1:11" ht="15" customHeight="1" x14ac:dyDescent="0.2">
      <c r="A48" s="58"/>
      <c r="B48" s="55">
        <v>44</v>
      </c>
      <c r="C48" s="57"/>
      <c r="D48" s="57"/>
      <c r="E48" s="56"/>
      <c r="F48" s="59"/>
      <c r="G48" s="55"/>
      <c r="H48" s="62"/>
      <c r="I48" s="59"/>
      <c r="J48" s="57"/>
      <c r="K48" s="61" t="str">
        <f>IF(F48&lt;&gt;"",F48*'🏠 INICIO'!$C$11,"")</f>
        <v/>
      </c>
    </row>
    <row r="49" spans="1:11" ht="15" customHeight="1" x14ac:dyDescent="0.2">
      <c r="A49" s="58"/>
      <c r="B49" s="45">
        <v>45</v>
      </c>
      <c r="C49" s="47"/>
      <c r="D49" s="47"/>
      <c r="E49" s="46"/>
      <c r="F49" s="59"/>
      <c r="G49" s="45"/>
      <c r="H49" s="60"/>
      <c r="I49" s="59"/>
      <c r="J49" s="47"/>
      <c r="K49" s="61" t="str">
        <f>IF(F49&lt;&gt;"",F49*'🏠 INICIO'!$C$11,"")</f>
        <v/>
      </c>
    </row>
    <row r="50" spans="1:11" ht="15" customHeight="1" x14ac:dyDescent="0.2">
      <c r="A50" s="58"/>
      <c r="B50" s="55">
        <v>46</v>
      </c>
      <c r="C50" s="57"/>
      <c r="D50" s="57"/>
      <c r="E50" s="56"/>
      <c r="F50" s="59"/>
      <c r="G50" s="55"/>
      <c r="H50" s="62"/>
      <c r="I50" s="59"/>
      <c r="J50" s="57"/>
      <c r="K50" s="61" t="str">
        <f>IF(F50&lt;&gt;"",F50*'🏠 INICIO'!$C$11,"")</f>
        <v/>
      </c>
    </row>
    <row r="51" spans="1:11" ht="15" customHeight="1" x14ac:dyDescent="0.2">
      <c r="A51" s="58"/>
      <c r="B51" s="45">
        <v>47</v>
      </c>
      <c r="C51" s="47"/>
      <c r="D51" s="47"/>
      <c r="E51" s="46"/>
      <c r="F51" s="59"/>
      <c r="G51" s="45"/>
      <c r="H51" s="60"/>
      <c r="I51" s="59"/>
      <c r="J51" s="47"/>
      <c r="K51" s="61" t="str">
        <f>IF(F51&lt;&gt;"",F51*'🏠 INICIO'!$C$11,"")</f>
        <v/>
      </c>
    </row>
    <row r="52" spans="1:11" ht="15" customHeight="1" x14ac:dyDescent="0.2">
      <c r="A52" s="58"/>
      <c r="B52" s="55">
        <v>48</v>
      </c>
      <c r="C52" s="57"/>
      <c r="D52" s="57"/>
      <c r="E52" s="56"/>
      <c r="F52" s="59"/>
      <c r="G52" s="55"/>
      <c r="H52" s="62"/>
      <c r="I52" s="59"/>
      <c r="J52" s="57"/>
      <c r="K52" s="61" t="str">
        <f>IF(F52&lt;&gt;"",F52*'🏠 INICIO'!$C$11,"")</f>
        <v/>
      </c>
    </row>
    <row r="53" spans="1:11" ht="15" customHeight="1" x14ac:dyDescent="0.2">
      <c r="A53" s="58"/>
      <c r="B53" s="45">
        <v>49</v>
      </c>
      <c r="C53" s="47"/>
      <c r="D53" s="47"/>
      <c r="E53" s="46"/>
      <c r="F53" s="59"/>
      <c r="G53" s="45"/>
      <c r="H53" s="60"/>
      <c r="I53" s="59"/>
      <c r="J53" s="47"/>
      <c r="K53" s="61" t="str">
        <f>IF(F53&lt;&gt;"",F53*'🏠 INICIO'!$C$11,"")</f>
        <v/>
      </c>
    </row>
    <row r="54" spans="1:11" ht="15" customHeight="1" x14ac:dyDescent="0.2">
      <c r="A54" s="58"/>
      <c r="B54" s="55">
        <v>50</v>
      </c>
      <c r="C54" s="57"/>
      <c r="D54" s="57"/>
      <c r="E54" s="56"/>
      <c r="F54" s="59"/>
      <c r="G54" s="55"/>
      <c r="H54" s="62"/>
      <c r="I54" s="59"/>
      <c r="J54" s="57"/>
      <c r="K54" s="61" t="str">
        <f>IF(F54&lt;&gt;"",F54*'🏠 INICIO'!$C$11,"")</f>
        <v/>
      </c>
    </row>
    <row r="56" spans="1:11" ht="24" customHeight="1" x14ac:dyDescent="0.2">
      <c r="A56" s="82" t="s">
        <v>140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</row>
    <row r="57" spans="1:11" ht="23.25" customHeight="1" x14ac:dyDescent="0.2">
      <c r="A57" s="105" t="s">
        <v>114</v>
      </c>
      <c r="B57" s="105"/>
      <c r="C57" s="105" t="s">
        <v>115</v>
      </c>
      <c r="D57" s="105"/>
      <c r="E57" s="106" t="s">
        <v>116</v>
      </c>
      <c r="F57" s="106"/>
      <c r="G57" s="107" t="s">
        <v>117</v>
      </c>
      <c r="H57" s="107"/>
      <c r="I57" s="108" t="s">
        <v>118</v>
      </c>
      <c r="J57" s="108"/>
    </row>
    <row r="58" spans="1:11" ht="25.5" customHeight="1" x14ac:dyDescent="0.2">
      <c r="A58" s="98">
        <f>SUM(F5:F54)</f>
        <v>0</v>
      </c>
      <c r="B58" s="98"/>
      <c r="C58" s="99">
        <f>COUNTIF(H5:H54,"PAGADO")</f>
        <v>0</v>
      </c>
      <c r="D58" s="99"/>
      <c r="E58" s="100">
        <f>COUNTIF(H5:H54,"FALTA CANCELAR")</f>
        <v>0</v>
      </c>
      <c r="F58" s="100"/>
      <c r="G58" s="101">
        <f>SUM(I5:I54)</f>
        <v>0</v>
      </c>
      <c r="H58" s="101"/>
      <c r="I58" s="102">
        <f>SUM(K5:K54)</f>
        <v>0</v>
      </c>
      <c r="J58" s="102"/>
    </row>
  </sheetData>
  <mergeCells count="14">
    <mergeCell ref="A1:K1"/>
    <mergeCell ref="A2:K2"/>
    <mergeCell ref="A3:K3"/>
    <mergeCell ref="A56:K56"/>
    <mergeCell ref="A57:B57"/>
    <mergeCell ref="C57:D57"/>
    <mergeCell ref="E57:F57"/>
    <mergeCell ref="G57:H57"/>
    <mergeCell ref="I57:J57"/>
    <mergeCell ref="A58:B58"/>
    <mergeCell ref="C58:D58"/>
    <mergeCell ref="E58:F58"/>
    <mergeCell ref="G58:H58"/>
    <mergeCell ref="I58:J58"/>
  </mergeCells>
  <conditionalFormatting sqref="H5:H54">
    <cfRule type="expression" dxfId="2" priority="2">
      <formula>$H5="PAGADO"</formula>
    </cfRule>
    <cfRule type="expression" dxfId="1" priority="3">
      <formula>$H5="FALTA CANCELAR"</formula>
    </cfRule>
    <cfRule type="expression" dxfId="0" priority="4">
      <formula>$H5="ADELANTO"</formula>
    </cfRule>
  </conditionalFormatting>
  <dataValidations count="4">
    <dataValidation type="list" allowBlank="1" sqref="A5:A54" xr:uid="{00000000-0002-0000-0E00-000000000000}">
      <formula1>"1,2,3,4,5,6,7,8,9,10,11,12,13,14,15,16,17,18,19,20"</formula1>
      <formula2>0</formula2>
    </dataValidation>
    <dataValidation type="list" allowBlank="1" sqref="E5:E54" xr:uid="{00000000-0002-0000-0E00-000001000000}">
      <formula1>"YANBAL,ESIKA,CYZONE,LBEL,NATURA,AVON,FARMASI,ORIFLAME,OTRO"</formula1>
      <formula2>0</formula2>
    </dataValidation>
    <dataValidation type="list" allowBlank="1" sqref="G5:G54" xr:uid="{00000000-0002-0000-0E00-000002000000}">
      <formula1>"YAPE,PLIN,EFECTIVO,TRANSFERENCIA,MIXTO"</formula1>
      <formula2>0</formula2>
    </dataValidation>
    <dataValidation type="list" allowBlank="1" sqref="H5:H54" xr:uid="{00000000-0002-0000-0E00-000003000000}">
      <formula1>"PAGADO,FALTA CANCELAR,ADELANTO"</formula1>
      <formula2>0</formula2>
    </dataValidation>
  </dataValidations>
  <printOptions horizontalCentered="1"/>
  <pageMargins left="0.3" right="0.3" top="0.4" bottom="0.4" header="0.511811023622047" footer="0.511811023622047"/>
  <pageSetup paperSize="9" fitToHeight="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91E8C"/>
    <pageSetUpPr fitToPage="1"/>
  </sheetPr>
  <dimension ref="A1:E17"/>
  <sheetViews>
    <sheetView showGridLines="0" tabSelected="1" zoomScaleNormal="100" workbookViewId="0">
      <pane ySplit="2" topLeftCell="A3" activePane="bottomLeft" state="frozen"/>
      <selection pane="bottomLeft" sqref="A1:E1"/>
    </sheetView>
  </sheetViews>
  <sheetFormatPr baseColWidth="10" defaultColWidth="8.6640625" defaultRowHeight="15" x14ac:dyDescent="0.2"/>
  <cols>
    <col min="1" max="1" width="16" customWidth="1"/>
    <col min="2" max="2" width="22" customWidth="1"/>
    <col min="3" max="3" width="16" customWidth="1"/>
    <col min="4" max="5" width="18" customWidth="1"/>
  </cols>
  <sheetData>
    <row r="1" spans="1:5" ht="27.75" customHeight="1" x14ac:dyDescent="0.2">
      <c r="A1" s="95" t="str">
        <f>"📊  DASHBOARD ANUAL — AMYSA "&amp;'🏠 INICIO'!$C$12</f>
        <v>📊  DASHBOARD ANUAL — AMYSA 2026</v>
      </c>
      <c r="B1" s="95"/>
      <c r="C1" s="95"/>
      <c r="D1" s="95"/>
      <c r="E1" s="95"/>
    </row>
    <row r="2" spans="1:5" ht="33.75" customHeight="1" x14ac:dyDescent="0.2">
      <c r="A2" s="15" t="s">
        <v>84</v>
      </c>
      <c r="B2" s="19" t="s">
        <v>141</v>
      </c>
      <c r="C2" s="15" t="s">
        <v>142</v>
      </c>
      <c r="D2" s="15" t="s">
        <v>116</v>
      </c>
      <c r="E2" s="18" t="s">
        <v>143</v>
      </c>
    </row>
    <row r="3" spans="1:5" ht="15" customHeight="1" x14ac:dyDescent="0.2">
      <c r="A3" s="63" t="s">
        <v>144</v>
      </c>
      <c r="B3" s="28">
        <f>SUMIF('SEG - ENERO'!H5:H54,"PAGADO",'SEG - ENERO'!F5:F54)</f>
        <v>25</v>
      </c>
      <c r="C3" s="64">
        <f>'SEG - ENERO'!C58</f>
        <v>1</v>
      </c>
      <c r="D3" s="65">
        <f>'SEG - ENERO'!E58</f>
        <v>0</v>
      </c>
      <c r="E3" s="66">
        <f>'SEG - ENERO'!I58</f>
        <v>2.5</v>
      </c>
    </row>
    <row r="4" spans="1:5" ht="15" customHeight="1" x14ac:dyDescent="0.2">
      <c r="A4" s="67" t="s">
        <v>145</v>
      </c>
      <c r="B4" s="28">
        <f>SUMIF('SEG - FEBRERO'!H5:H54,"PAGADO",'SEG - FEBRERO'!F5:F54)</f>
        <v>0</v>
      </c>
      <c r="C4" s="68">
        <f>'SEG - FEBRERO'!C58</f>
        <v>0</v>
      </c>
      <c r="D4" s="69">
        <f>'SEG - FEBRERO'!E58</f>
        <v>0</v>
      </c>
      <c r="E4" s="70">
        <f>'SEG - FEBRERO'!I58</f>
        <v>0</v>
      </c>
    </row>
    <row r="5" spans="1:5" ht="15" customHeight="1" x14ac:dyDescent="0.2">
      <c r="A5" s="63" t="s">
        <v>146</v>
      </c>
      <c r="B5" s="28">
        <f>SUMIF('SEG - MARZO'!H5:H54,"PAGADO",'SEG - MARZO'!F5:F54)</f>
        <v>0</v>
      </c>
      <c r="C5" s="64">
        <f>'SEG - MARZO'!C58</f>
        <v>0</v>
      </c>
      <c r="D5" s="65">
        <f>'SEG - MARZO'!E58</f>
        <v>0</v>
      </c>
      <c r="E5" s="66">
        <f>'SEG - MARZO'!I58</f>
        <v>0</v>
      </c>
    </row>
    <row r="6" spans="1:5" ht="15" customHeight="1" x14ac:dyDescent="0.2">
      <c r="A6" s="67" t="s">
        <v>147</v>
      </c>
      <c r="B6" s="28">
        <f>SUMIF('SEG - ABRIL'!H5:H54,"PAGADO",'SEG - ABRIL'!F5:F54)</f>
        <v>0</v>
      </c>
      <c r="C6" s="68">
        <f>'SEG - ABRIL'!C58</f>
        <v>0</v>
      </c>
      <c r="D6" s="69">
        <f>'SEG - ABRIL'!E58</f>
        <v>0</v>
      </c>
      <c r="E6" s="70">
        <f>'SEG - ABRIL'!I58</f>
        <v>0</v>
      </c>
    </row>
    <row r="7" spans="1:5" ht="15" customHeight="1" x14ac:dyDescent="0.2">
      <c r="A7" s="63" t="s">
        <v>148</v>
      </c>
      <c r="B7" s="28">
        <f>SUMIF('SEG - MAYO'!H5:H54,"PAGADO",'SEG - MAYO'!F5:F54)</f>
        <v>0</v>
      </c>
      <c r="C7" s="64">
        <f>'SEG - MAYO'!C58</f>
        <v>0</v>
      </c>
      <c r="D7" s="65">
        <f>'SEG - MAYO'!E58</f>
        <v>0</v>
      </c>
      <c r="E7" s="66">
        <f>'SEG - MAYO'!I58</f>
        <v>0</v>
      </c>
    </row>
    <row r="8" spans="1:5" ht="15" customHeight="1" x14ac:dyDescent="0.2">
      <c r="A8" s="67" t="s">
        <v>81</v>
      </c>
      <c r="B8" s="28">
        <f>SUMIF('SEG - JUNIO'!H5:H54,"PAGADO",'SEG - JUNIO'!F5:F54)</f>
        <v>0</v>
      </c>
      <c r="C8" s="68">
        <f>'SEG - JUNIO'!C58</f>
        <v>0</v>
      </c>
      <c r="D8" s="69">
        <f>'SEG - JUNIO'!E58</f>
        <v>0</v>
      </c>
      <c r="E8" s="70">
        <f>'SEG - JUNIO'!I58</f>
        <v>0</v>
      </c>
    </row>
    <row r="9" spans="1:5" ht="15" customHeight="1" x14ac:dyDescent="0.2">
      <c r="A9" s="63" t="s">
        <v>149</v>
      </c>
      <c r="B9" s="28">
        <f>SUMIF('SEG - JULIO'!H5:H54,"PAGADO",'SEG - JULIO'!F5:F54)</f>
        <v>0</v>
      </c>
      <c r="C9" s="64">
        <f>'SEG - JULIO'!C58</f>
        <v>0</v>
      </c>
      <c r="D9" s="65">
        <f>'SEG - JULIO'!E58</f>
        <v>0</v>
      </c>
      <c r="E9" s="66">
        <f>'SEG - JULIO'!I58</f>
        <v>0</v>
      </c>
    </row>
    <row r="10" spans="1:5" ht="15" customHeight="1" x14ac:dyDescent="0.2">
      <c r="A10" s="67" t="s">
        <v>150</v>
      </c>
      <c r="B10" s="28">
        <f>SUMIF('SEG - AGOSTO'!H5:H54,"PAGADO",'SEG - AGOSTO'!F5:F54)</f>
        <v>0</v>
      </c>
      <c r="C10" s="68">
        <f>'SEG - AGOSTO'!C58</f>
        <v>0</v>
      </c>
      <c r="D10" s="69">
        <f>'SEG - AGOSTO'!E58</f>
        <v>0</v>
      </c>
      <c r="E10" s="70">
        <f>'SEG - AGOSTO'!I58</f>
        <v>0</v>
      </c>
    </row>
    <row r="11" spans="1:5" ht="15" customHeight="1" x14ac:dyDescent="0.2">
      <c r="A11" s="63" t="s">
        <v>151</v>
      </c>
      <c r="B11" s="28">
        <f>SUMIF('SEG - SEPTIEMBRE'!H5:H54,"PAGADO",'SEG - SEPTIEMBRE'!F5:F54)</f>
        <v>0</v>
      </c>
      <c r="C11" s="64">
        <f>'SEG - SEPTIEMBRE'!C58</f>
        <v>0</v>
      </c>
      <c r="D11" s="65">
        <f>'SEG - SEPTIEMBRE'!E58</f>
        <v>0</v>
      </c>
      <c r="E11" s="66">
        <f>'SEG - SEPTIEMBRE'!I58</f>
        <v>0</v>
      </c>
    </row>
    <row r="12" spans="1:5" ht="15" customHeight="1" x14ac:dyDescent="0.2">
      <c r="A12" s="67" t="s">
        <v>152</v>
      </c>
      <c r="B12" s="28">
        <f>SUMIF('SEG - OCTUBRE'!H5:H54,"PAGADO",'SEG - OCTUBRE'!F5:F54)</f>
        <v>0</v>
      </c>
      <c r="C12" s="68">
        <f>'SEG - OCTUBRE'!C58</f>
        <v>0</v>
      </c>
      <c r="D12" s="69">
        <f>'SEG - OCTUBRE'!E58</f>
        <v>0</v>
      </c>
      <c r="E12" s="70">
        <f>'SEG - OCTUBRE'!I58</f>
        <v>0</v>
      </c>
    </row>
    <row r="13" spans="1:5" ht="15" customHeight="1" x14ac:dyDescent="0.2">
      <c r="A13" s="63" t="s">
        <v>153</v>
      </c>
      <c r="B13" s="28">
        <f>SUMIF('SEG - NOVIEMBRE'!H5:H54,"PAGADO",'SEG - NOVIEMBRE'!F5:F54)</f>
        <v>0</v>
      </c>
      <c r="C13" s="64">
        <f>'SEG - NOVIEMBRE'!C58</f>
        <v>0</v>
      </c>
      <c r="D13" s="65">
        <f>'SEG - NOVIEMBRE'!E58</f>
        <v>0</v>
      </c>
      <c r="E13" s="66">
        <f>'SEG - NOVIEMBRE'!I58</f>
        <v>0</v>
      </c>
    </row>
    <row r="14" spans="1:5" ht="15" customHeight="1" x14ac:dyDescent="0.2">
      <c r="A14" s="67" t="s">
        <v>154</v>
      </c>
      <c r="B14" s="28">
        <f>SUMIF('SEG - DICIEMBRE'!H5:H54,"PAGADO",'SEG - DICIEMBRE'!F5:F54)</f>
        <v>0</v>
      </c>
      <c r="C14" s="68">
        <f>'SEG - DICIEMBRE'!C58</f>
        <v>0</v>
      </c>
      <c r="D14" s="69">
        <f>'SEG - DICIEMBRE'!E58</f>
        <v>0</v>
      </c>
      <c r="E14" s="70">
        <f>'SEG - DICIEMBRE'!I58</f>
        <v>0</v>
      </c>
    </row>
    <row r="15" spans="1:5" ht="15" customHeight="1" x14ac:dyDescent="0.2">
      <c r="A15" s="71" t="s">
        <v>155</v>
      </c>
      <c r="B15" s="72">
        <f>SUM(B3:B14)</f>
        <v>25</v>
      </c>
      <c r="C15" s="73">
        <f>SUM(C3:C14)</f>
        <v>1</v>
      </c>
      <c r="D15" s="74">
        <f>SUM(D3:D14)</f>
        <v>0</v>
      </c>
      <c r="E15" s="75">
        <f>SUM(E3:E14)</f>
        <v>2.5</v>
      </c>
    </row>
    <row r="17" spans="1:5" ht="15" customHeight="1" x14ac:dyDescent="0.2">
      <c r="A17" s="109" t="s">
        <v>156</v>
      </c>
      <c r="B17" s="109"/>
      <c r="C17" s="109"/>
      <c r="D17" s="109"/>
      <c r="E17" s="109"/>
    </row>
  </sheetData>
  <mergeCells count="2">
    <mergeCell ref="A1:E1"/>
    <mergeCell ref="A17:E17"/>
  </mergeCells>
  <printOptions horizontalCentered="1"/>
  <pageMargins left="0.3" right="0.3" top="0.4" bottom="0.4" header="0.511811023622047" footer="0.511811023622047"/>
  <pageSetup paperSize="9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🏠 INICIO</vt:lpstr>
      <vt:lpstr>💰 INVENTARIO</vt:lpstr>
      <vt:lpstr>📊 CALCULADORA CAMPAÑA</vt:lpstr>
      <vt:lpstr>SEG - ENERO</vt:lpstr>
      <vt:lpstr>SEG - FEBRERO</vt:lpstr>
      <vt:lpstr>SEG - MARZO</vt:lpstr>
      <vt:lpstr>SEG - ABRIL</vt:lpstr>
      <vt:lpstr>SEG - MAYO</vt:lpstr>
      <vt:lpstr>SEG - JUNIO</vt:lpstr>
      <vt:lpstr>SEG - JULIO</vt:lpstr>
      <vt:lpstr>SEG - AGOSTO</vt:lpstr>
      <vt:lpstr>SEG - SEPTIEMBRE</vt:lpstr>
      <vt:lpstr>SEG - OCTUBRE</vt:lpstr>
      <vt:lpstr>SEG - NOVIEMBRE</vt:lpstr>
      <vt:lpstr>SEG - DICIEMBRE</vt:lpstr>
      <vt:lpstr>📊 RESUMEN 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Ambar Milagros Castro Alejos</cp:lastModifiedBy>
  <cp:revision>2</cp:revision>
  <dcterms:created xsi:type="dcterms:W3CDTF">2026-06-14T07:09:43Z</dcterms:created>
  <dcterms:modified xsi:type="dcterms:W3CDTF">2026-06-14T09:02:36Z</dcterms:modified>
  <dc:language>en-US</dc:language>
</cp:coreProperties>
</file>